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pom\Desktop\Inv\"/>
    </mc:Choice>
  </mc:AlternateContent>
  <xr:revisionPtr revIDLastSave="0" documentId="13_ncr:1_{3BBF5283-6880-4FAD-85C0-A07CEA1C4A23}" xr6:coauthVersionLast="47" xr6:coauthVersionMax="47" xr10:uidLastSave="{00000000-0000-0000-0000-000000000000}"/>
  <bookViews>
    <workbookView xWindow="-120" yWindow="-120" windowWidth="29040" windowHeight="15720" tabRatio="745" xr2:uid="{8540E115-9F96-4FE4-8DD1-E8CF9E588A05}"/>
  </bookViews>
  <sheets>
    <sheet name="2024 Summary" sheetId="13" r:id="rId1"/>
    <sheet name="Jan" sheetId="1" r:id="rId2"/>
    <sheet name="Feb" sheetId="2" r:id="rId3"/>
    <sheet name="Mar" sheetId="3" r:id="rId4"/>
    <sheet name="Apr" sheetId="4" r:id="rId5"/>
    <sheet name="May" sheetId="5" r:id="rId6"/>
    <sheet name="Jun" sheetId="6" r:id="rId7"/>
    <sheet name="Jul" sheetId="7" r:id="rId8"/>
    <sheet name="Aug" sheetId="8" r:id="rId9"/>
    <sheet name="Sep" sheetId="9" r:id="rId10"/>
    <sheet name="Oct" sheetId="10" r:id="rId11"/>
    <sheet name="Nov" sheetId="11" r:id="rId12"/>
    <sheet name="Dec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3" l="1"/>
  <c r="C20" i="13"/>
  <c r="D20" i="13"/>
  <c r="E20" i="13"/>
  <c r="F20" i="13"/>
  <c r="G20" i="13"/>
  <c r="H20" i="13"/>
  <c r="I20" i="13"/>
  <c r="J20" i="13"/>
  <c r="K20" i="13"/>
  <c r="L20" i="13"/>
  <c r="M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B25" i="13"/>
  <c r="C25" i="13"/>
  <c r="D25" i="13"/>
  <c r="E25" i="13"/>
  <c r="F25" i="13"/>
  <c r="G25" i="13"/>
  <c r="H25" i="13"/>
  <c r="I25" i="13"/>
  <c r="J25" i="13"/>
  <c r="K25" i="13"/>
  <c r="L25" i="13"/>
  <c r="M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B27" i="13"/>
  <c r="C27" i="13"/>
  <c r="D27" i="13"/>
  <c r="E27" i="13"/>
  <c r="F27" i="13"/>
  <c r="G27" i="13"/>
  <c r="H27" i="13"/>
  <c r="I27" i="13"/>
  <c r="J27" i="13"/>
  <c r="K27" i="13"/>
  <c r="L27" i="13"/>
  <c r="M27" i="13"/>
  <c r="B28" i="13"/>
  <c r="C28" i="13"/>
  <c r="D28" i="13"/>
  <c r="E28" i="13"/>
  <c r="F28" i="13"/>
  <c r="G28" i="13"/>
  <c r="H28" i="13"/>
  <c r="I28" i="13"/>
  <c r="J28" i="13"/>
  <c r="K28" i="13"/>
  <c r="L28" i="13"/>
  <c r="M28" i="13"/>
  <c r="B29" i="13"/>
  <c r="C29" i="13"/>
  <c r="D29" i="13"/>
  <c r="E29" i="13"/>
  <c r="F29" i="13"/>
  <c r="G29" i="13"/>
  <c r="H29" i="13"/>
  <c r="I29" i="13"/>
  <c r="J29" i="13"/>
  <c r="K29" i="13"/>
  <c r="L29" i="13"/>
  <c r="M29" i="13"/>
  <c r="B30" i="13"/>
  <c r="C30" i="13"/>
  <c r="D30" i="13"/>
  <c r="E30" i="13"/>
  <c r="F30" i="13"/>
  <c r="G30" i="13"/>
  <c r="H30" i="13"/>
  <c r="I30" i="13"/>
  <c r="J30" i="13"/>
  <c r="K30" i="13"/>
  <c r="L30" i="13"/>
  <c r="M30" i="13"/>
  <c r="B31" i="13"/>
  <c r="C31" i="13"/>
  <c r="D31" i="13"/>
  <c r="E31" i="13"/>
  <c r="F31" i="13"/>
  <c r="G31" i="13"/>
  <c r="H31" i="13"/>
  <c r="I31" i="13"/>
  <c r="J31" i="13"/>
  <c r="K31" i="13"/>
  <c r="L31" i="13"/>
  <c r="M31" i="13"/>
  <c r="B32" i="13"/>
  <c r="C32" i="13"/>
  <c r="D32" i="13"/>
  <c r="E32" i="13"/>
  <c r="F32" i="13"/>
  <c r="G32" i="13"/>
  <c r="H32" i="13"/>
  <c r="I32" i="13"/>
  <c r="J32" i="13"/>
  <c r="K32" i="13"/>
  <c r="L32" i="13"/>
  <c r="M32" i="13"/>
  <c r="B33" i="13"/>
  <c r="C33" i="13"/>
  <c r="D33" i="13"/>
  <c r="E33" i="13"/>
  <c r="F33" i="13"/>
  <c r="G33" i="13"/>
  <c r="H33" i="13"/>
  <c r="I33" i="13"/>
  <c r="J33" i="13"/>
  <c r="K33" i="13"/>
  <c r="L33" i="13"/>
  <c r="M33" i="13"/>
  <c r="B34" i="13"/>
  <c r="C34" i="13"/>
  <c r="D34" i="13"/>
  <c r="E34" i="13"/>
  <c r="F34" i="13"/>
  <c r="G34" i="13"/>
  <c r="H34" i="13"/>
  <c r="I34" i="13"/>
  <c r="J34" i="13"/>
  <c r="K34" i="13"/>
  <c r="L34" i="13"/>
  <c r="M34" i="13"/>
  <c r="B35" i="13"/>
  <c r="C35" i="13"/>
  <c r="D35" i="13"/>
  <c r="E35" i="13"/>
  <c r="F35" i="13"/>
  <c r="G35" i="13"/>
  <c r="H35" i="13"/>
  <c r="I35" i="13"/>
  <c r="J35" i="13"/>
  <c r="K35" i="13"/>
  <c r="L35" i="13"/>
  <c r="M35" i="13"/>
  <c r="B36" i="13"/>
  <c r="C36" i="13"/>
  <c r="D36" i="13"/>
  <c r="E36" i="13"/>
  <c r="F36" i="13"/>
  <c r="G36" i="13"/>
  <c r="H36" i="13"/>
  <c r="I36" i="13"/>
  <c r="J36" i="13"/>
  <c r="K36" i="13"/>
  <c r="L36" i="13"/>
  <c r="M36" i="13"/>
  <c r="B37" i="13"/>
  <c r="C37" i="13"/>
  <c r="D37" i="13"/>
  <c r="E37" i="13"/>
  <c r="F37" i="13"/>
  <c r="G37" i="13"/>
  <c r="H37" i="13"/>
  <c r="I37" i="13"/>
  <c r="J37" i="13"/>
  <c r="K37" i="13"/>
  <c r="L37" i="13"/>
  <c r="M37" i="13"/>
  <c r="B38" i="13"/>
  <c r="C38" i="13"/>
  <c r="D38" i="13"/>
  <c r="E38" i="13"/>
  <c r="F38" i="13"/>
  <c r="G38" i="13"/>
  <c r="H38" i="13"/>
  <c r="I38" i="13"/>
  <c r="J38" i="13"/>
  <c r="K38" i="13"/>
  <c r="L38" i="13"/>
  <c r="M38" i="13"/>
  <c r="B39" i="13"/>
  <c r="C39" i="13"/>
  <c r="D39" i="13"/>
  <c r="E39" i="13"/>
  <c r="F39" i="13"/>
  <c r="G39" i="13"/>
  <c r="H39" i="13"/>
  <c r="I39" i="13"/>
  <c r="J39" i="13"/>
  <c r="K39" i="13"/>
  <c r="L39" i="13"/>
  <c r="M39" i="13"/>
  <c r="B40" i="13"/>
  <c r="C40" i="13"/>
  <c r="D40" i="13"/>
  <c r="E40" i="13"/>
  <c r="F40" i="13"/>
  <c r="G40" i="13"/>
  <c r="H40" i="13"/>
  <c r="I40" i="13"/>
  <c r="J40" i="13"/>
  <c r="K40" i="13"/>
  <c r="L40" i="13"/>
  <c r="M40" i="13"/>
  <c r="B41" i="13"/>
  <c r="C41" i="13"/>
  <c r="D41" i="13"/>
  <c r="E41" i="13"/>
  <c r="F41" i="13"/>
  <c r="G41" i="13"/>
  <c r="H41" i="13"/>
  <c r="I41" i="13"/>
  <c r="J41" i="13"/>
  <c r="K41" i="13"/>
  <c r="L41" i="13"/>
  <c r="M41" i="13"/>
  <c r="B42" i="13"/>
  <c r="C42" i="13"/>
  <c r="D42" i="13"/>
  <c r="E42" i="13"/>
  <c r="F42" i="13"/>
  <c r="G42" i="13"/>
  <c r="H42" i="13"/>
  <c r="I42" i="13"/>
  <c r="J42" i="13"/>
  <c r="K42" i="13"/>
  <c r="L42" i="13"/>
  <c r="M42" i="13"/>
  <c r="B43" i="13"/>
  <c r="C43" i="13"/>
  <c r="D43" i="13"/>
  <c r="E43" i="13"/>
  <c r="F43" i="13"/>
  <c r="G43" i="13"/>
  <c r="H43" i="13"/>
  <c r="I43" i="13"/>
  <c r="J43" i="13"/>
  <c r="K43" i="13"/>
  <c r="L43" i="13"/>
  <c r="M43" i="13"/>
  <c r="B44" i="13"/>
  <c r="C44" i="13"/>
  <c r="D44" i="13"/>
  <c r="E44" i="13"/>
  <c r="F44" i="13"/>
  <c r="G44" i="13"/>
  <c r="H44" i="13"/>
  <c r="I44" i="13"/>
  <c r="J44" i="13"/>
  <c r="K44" i="13"/>
  <c r="L44" i="13"/>
  <c r="M44" i="13"/>
  <c r="B45" i="13"/>
  <c r="C45" i="13"/>
  <c r="D45" i="13"/>
  <c r="E45" i="13"/>
  <c r="F45" i="13"/>
  <c r="G45" i="13"/>
  <c r="H45" i="13"/>
  <c r="I45" i="13"/>
  <c r="J45" i="13"/>
  <c r="K45" i="13"/>
  <c r="L45" i="13"/>
  <c r="M45" i="13"/>
  <c r="B46" i="13"/>
  <c r="C46" i="13"/>
  <c r="D46" i="13"/>
  <c r="E46" i="13"/>
  <c r="F46" i="13"/>
  <c r="G46" i="13"/>
  <c r="H46" i="13"/>
  <c r="I46" i="13"/>
  <c r="J46" i="13"/>
  <c r="K46" i="13"/>
  <c r="L46" i="13"/>
  <c r="M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B48" i="13"/>
  <c r="C48" i="13"/>
  <c r="D48" i="13"/>
  <c r="E48" i="13"/>
  <c r="F48" i="13"/>
  <c r="G48" i="13"/>
  <c r="H48" i="13"/>
  <c r="I48" i="13"/>
  <c r="J48" i="13"/>
  <c r="K48" i="13"/>
  <c r="L48" i="13"/>
  <c r="M48" i="13"/>
  <c r="B49" i="13"/>
  <c r="C49" i="13"/>
  <c r="D49" i="13"/>
  <c r="E49" i="13"/>
  <c r="F49" i="13"/>
  <c r="G49" i="13"/>
  <c r="H49" i="13"/>
  <c r="I49" i="13"/>
  <c r="J49" i="13"/>
  <c r="K49" i="13"/>
  <c r="L49" i="13"/>
  <c r="M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B51" i="13"/>
  <c r="C51" i="13"/>
  <c r="D51" i="13"/>
  <c r="E51" i="13"/>
  <c r="F51" i="13"/>
  <c r="G51" i="13"/>
  <c r="H51" i="13"/>
  <c r="I51" i="13"/>
  <c r="J51" i="13"/>
  <c r="K51" i="13"/>
  <c r="L51" i="13"/>
  <c r="M51" i="13"/>
  <c r="B52" i="13"/>
  <c r="C52" i="13"/>
  <c r="D52" i="13"/>
  <c r="E52" i="13"/>
  <c r="F52" i="13"/>
  <c r="G52" i="13"/>
  <c r="H52" i="13"/>
  <c r="I52" i="13"/>
  <c r="J52" i="13"/>
  <c r="K52" i="13"/>
  <c r="L52" i="13"/>
  <c r="M52" i="13"/>
  <c r="B53" i="13"/>
  <c r="C53" i="13"/>
  <c r="D53" i="13"/>
  <c r="E53" i="13"/>
  <c r="F53" i="13"/>
  <c r="G53" i="13"/>
  <c r="H53" i="13"/>
  <c r="I53" i="13"/>
  <c r="J53" i="13"/>
  <c r="K53" i="13"/>
  <c r="L53" i="13"/>
  <c r="M53" i="13"/>
  <c r="B54" i="13"/>
  <c r="C54" i="13"/>
  <c r="D54" i="13"/>
  <c r="E54" i="13"/>
  <c r="F54" i="13"/>
  <c r="G54" i="13"/>
  <c r="H54" i="13"/>
  <c r="I54" i="13"/>
  <c r="J54" i="13"/>
  <c r="K54" i="13"/>
  <c r="L54" i="13"/>
  <c r="M54" i="13"/>
  <c r="B55" i="13"/>
  <c r="C55" i="13"/>
  <c r="D55" i="13"/>
  <c r="E55" i="13"/>
  <c r="F55" i="13"/>
  <c r="G55" i="13"/>
  <c r="H55" i="13"/>
  <c r="I55" i="13"/>
  <c r="J55" i="13"/>
  <c r="K55" i="13"/>
  <c r="L55" i="13"/>
  <c r="M55" i="13"/>
  <c r="B56" i="13"/>
  <c r="C56" i="13"/>
  <c r="D56" i="13"/>
  <c r="E56" i="13"/>
  <c r="F56" i="13"/>
  <c r="G56" i="13"/>
  <c r="H56" i="13"/>
  <c r="I56" i="13"/>
  <c r="J56" i="13"/>
  <c r="K56" i="13"/>
  <c r="L56" i="13"/>
  <c r="M56" i="13"/>
  <c r="B57" i="13"/>
  <c r="C57" i="13"/>
  <c r="D57" i="13"/>
  <c r="E57" i="13"/>
  <c r="F57" i="13"/>
  <c r="G57" i="13"/>
  <c r="H57" i="13"/>
  <c r="I57" i="13"/>
  <c r="J57" i="13"/>
  <c r="K57" i="13"/>
  <c r="L57" i="13"/>
  <c r="M57" i="13"/>
  <c r="B58" i="13"/>
  <c r="C58" i="13"/>
  <c r="D58" i="13"/>
  <c r="E58" i="13"/>
  <c r="F58" i="13"/>
  <c r="G58" i="13"/>
  <c r="H58" i="13"/>
  <c r="I58" i="13"/>
  <c r="J58" i="13"/>
  <c r="K58" i="13"/>
  <c r="L58" i="13"/>
  <c r="M58" i="13"/>
  <c r="B59" i="13"/>
  <c r="C59" i="13"/>
  <c r="D59" i="13"/>
  <c r="E59" i="13"/>
  <c r="F59" i="13"/>
  <c r="G59" i="13"/>
  <c r="H59" i="13"/>
  <c r="I59" i="13"/>
  <c r="J59" i="13"/>
  <c r="K59" i="13"/>
  <c r="L59" i="13"/>
  <c r="M59" i="13"/>
  <c r="B60" i="13"/>
  <c r="C60" i="13"/>
  <c r="D60" i="13"/>
  <c r="E60" i="13"/>
  <c r="F60" i="13"/>
  <c r="G60" i="13"/>
  <c r="H60" i="13"/>
  <c r="I60" i="13"/>
  <c r="J60" i="13"/>
  <c r="K60" i="13"/>
  <c r="L60" i="13"/>
  <c r="M60" i="13"/>
  <c r="B61" i="13"/>
  <c r="C61" i="13"/>
  <c r="D61" i="13"/>
  <c r="E61" i="13"/>
  <c r="F61" i="13"/>
  <c r="G61" i="13"/>
  <c r="H61" i="13"/>
  <c r="I61" i="13"/>
  <c r="J61" i="13"/>
  <c r="K61" i="13"/>
  <c r="L61" i="13"/>
  <c r="M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B68" i="13"/>
  <c r="C68" i="13"/>
  <c r="D68" i="13"/>
  <c r="E68" i="13"/>
  <c r="F68" i="13"/>
  <c r="G68" i="13"/>
  <c r="H68" i="13"/>
  <c r="I68" i="13"/>
  <c r="J68" i="13"/>
  <c r="K68" i="13"/>
  <c r="L68" i="13"/>
  <c r="M68" i="13"/>
  <c r="B69" i="13"/>
  <c r="C69" i="13"/>
  <c r="D69" i="13"/>
  <c r="E69" i="13"/>
  <c r="F69" i="13"/>
  <c r="G69" i="13"/>
  <c r="H69" i="13"/>
  <c r="I69" i="13"/>
  <c r="J69" i="13"/>
  <c r="K69" i="13"/>
  <c r="L69" i="13"/>
  <c r="M69" i="13"/>
  <c r="B70" i="13"/>
  <c r="C70" i="13"/>
  <c r="D70" i="13"/>
  <c r="E70" i="13"/>
  <c r="F70" i="13"/>
  <c r="G70" i="13"/>
  <c r="H70" i="13"/>
  <c r="I70" i="13"/>
  <c r="J70" i="13"/>
  <c r="K70" i="13"/>
  <c r="L70" i="13"/>
  <c r="M70" i="13"/>
  <c r="B71" i="13"/>
  <c r="C71" i="13"/>
  <c r="D71" i="13"/>
  <c r="E71" i="13"/>
  <c r="F71" i="13"/>
  <c r="G71" i="13"/>
  <c r="H71" i="13"/>
  <c r="I71" i="13"/>
  <c r="J71" i="13"/>
  <c r="K71" i="13"/>
  <c r="L71" i="13"/>
  <c r="M71" i="13"/>
  <c r="B72" i="13"/>
  <c r="C72" i="13"/>
  <c r="D72" i="13"/>
  <c r="E72" i="13"/>
  <c r="F72" i="13"/>
  <c r="G72" i="13"/>
  <c r="H72" i="13"/>
  <c r="I72" i="13"/>
  <c r="J72" i="13"/>
  <c r="K72" i="13"/>
  <c r="L72" i="13"/>
  <c r="M72" i="13"/>
  <c r="B73" i="13"/>
  <c r="C73" i="13"/>
  <c r="D73" i="13"/>
  <c r="E73" i="13"/>
  <c r="F73" i="13"/>
  <c r="G73" i="13"/>
  <c r="H73" i="13"/>
  <c r="I73" i="13"/>
  <c r="J73" i="13"/>
  <c r="K73" i="13"/>
  <c r="L73" i="13"/>
  <c r="M73" i="13"/>
  <c r="B74" i="13"/>
  <c r="C74" i="13"/>
  <c r="D74" i="13"/>
  <c r="E74" i="13"/>
  <c r="F74" i="13"/>
  <c r="G74" i="13"/>
  <c r="H74" i="13"/>
  <c r="I74" i="13"/>
  <c r="J74" i="13"/>
  <c r="K74" i="13"/>
  <c r="L74" i="13"/>
  <c r="M74" i="13"/>
  <c r="B75" i="13"/>
  <c r="C75" i="13"/>
  <c r="D75" i="13"/>
  <c r="E75" i="13"/>
  <c r="F75" i="13"/>
  <c r="G75" i="13"/>
  <c r="H75" i="13"/>
  <c r="I75" i="13"/>
  <c r="J75" i="13"/>
  <c r="K75" i="13"/>
  <c r="L75" i="13"/>
  <c r="M75" i="13"/>
  <c r="B76" i="13"/>
  <c r="C76" i="13"/>
  <c r="D76" i="13"/>
  <c r="E76" i="13"/>
  <c r="F76" i="13"/>
  <c r="G76" i="13"/>
  <c r="H76" i="13"/>
  <c r="I76" i="13"/>
  <c r="J76" i="13"/>
  <c r="K76" i="13"/>
  <c r="L76" i="13"/>
  <c r="M76" i="13"/>
  <c r="B77" i="13"/>
  <c r="C77" i="13"/>
  <c r="D77" i="13"/>
  <c r="E77" i="13"/>
  <c r="F77" i="13"/>
  <c r="G77" i="13"/>
  <c r="H77" i="13"/>
  <c r="I77" i="13"/>
  <c r="J77" i="13"/>
  <c r="K77" i="13"/>
  <c r="L77" i="13"/>
  <c r="M77" i="13"/>
  <c r="B78" i="13"/>
  <c r="C78" i="13"/>
  <c r="D78" i="13"/>
  <c r="E78" i="13"/>
  <c r="F78" i="13"/>
  <c r="G78" i="13"/>
  <c r="H78" i="13"/>
  <c r="I78" i="13"/>
  <c r="J78" i="13"/>
  <c r="K78" i="13"/>
  <c r="L78" i="13"/>
  <c r="M78" i="13"/>
  <c r="B79" i="13"/>
  <c r="C79" i="13"/>
  <c r="D79" i="13"/>
  <c r="E79" i="13"/>
  <c r="F79" i="13"/>
  <c r="G79" i="13"/>
  <c r="H79" i="13"/>
  <c r="I79" i="13"/>
  <c r="J79" i="13"/>
  <c r="K79" i="13"/>
  <c r="L79" i="13"/>
  <c r="M79" i="13"/>
  <c r="B80" i="13"/>
  <c r="C80" i="13"/>
  <c r="D80" i="13"/>
  <c r="E80" i="13"/>
  <c r="F80" i="13"/>
  <c r="G80" i="13"/>
  <c r="H80" i="13"/>
  <c r="I80" i="13"/>
  <c r="J80" i="13"/>
  <c r="K80" i="13"/>
  <c r="L80" i="13"/>
  <c r="M80" i="13"/>
  <c r="B81" i="13"/>
  <c r="C81" i="13"/>
  <c r="D81" i="13"/>
  <c r="E81" i="13"/>
  <c r="F81" i="13"/>
  <c r="G81" i="13"/>
  <c r="H81" i="13"/>
  <c r="I81" i="13"/>
  <c r="J81" i="13"/>
  <c r="K81" i="13"/>
  <c r="L81" i="13"/>
  <c r="M81" i="13"/>
  <c r="B82" i="13"/>
  <c r="C82" i="13"/>
  <c r="D82" i="13"/>
  <c r="E82" i="13"/>
  <c r="F82" i="13"/>
  <c r="G82" i="13"/>
  <c r="H82" i="13"/>
  <c r="I82" i="13"/>
  <c r="J82" i="13"/>
  <c r="K82" i="13"/>
  <c r="L82" i="13"/>
  <c r="M82" i="13"/>
  <c r="B83" i="13"/>
  <c r="C83" i="13"/>
  <c r="D83" i="13"/>
  <c r="E83" i="13"/>
  <c r="F83" i="13"/>
  <c r="G83" i="13"/>
  <c r="H83" i="13"/>
  <c r="I83" i="13"/>
  <c r="J83" i="13"/>
  <c r="K83" i="13"/>
  <c r="L83" i="13"/>
  <c r="M83" i="13"/>
  <c r="B84" i="13"/>
  <c r="C84" i="13"/>
  <c r="D84" i="13"/>
  <c r="E84" i="13"/>
  <c r="F84" i="13"/>
  <c r="G84" i="13"/>
  <c r="H84" i="13"/>
  <c r="I84" i="13"/>
  <c r="J84" i="13"/>
  <c r="K84" i="13"/>
  <c r="L84" i="13"/>
  <c r="M84" i="13"/>
  <c r="B85" i="13"/>
  <c r="C85" i="13"/>
  <c r="D85" i="13"/>
  <c r="E85" i="13"/>
  <c r="F85" i="13"/>
  <c r="G85" i="13"/>
  <c r="H85" i="13"/>
  <c r="I85" i="13"/>
  <c r="J85" i="13"/>
  <c r="K85" i="13"/>
  <c r="L85" i="13"/>
  <c r="M85" i="13"/>
  <c r="B86" i="13"/>
  <c r="C86" i="13"/>
  <c r="D86" i="13"/>
  <c r="E86" i="13"/>
  <c r="F86" i="13"/>
  <c r="G86" i="13"/>
  <c r="H86" i="13"/>
  <c r="I86" i="13"/>
  <c r="J86" i="13"/>
  <c r="K86" i="13"/>
  <c r="L86" i="13"/>
  <c r="M86" i="13"/>
  <c r="B87" i="13"/>
  <c r="C87" i="13"/>
  <c r="D87" i="13"/>
  <c r="E87" i="13"/>
  <c r="F87" i="13"/>
  <c r="G87" i="13"/>
  <c r="H87" i="13"/>
  <c r="I87" i="13"/>
  <c r="J87" i="13"/>
  <c r="K87" i="13"/>
  <c r="L87" i="13"/>
  <c r="M87" i="13"/>
  <c r="B88" i="13"/>
  <c r="C88" i="13"/>
  <c r="D88" i="13"/>
  <c r="E88" i="13"/>
  <c r="F88" i="13"/>
  <c r="G88" i="13"/>
  <c r="H88" i="13"/>
  <c r="I88" i="13"/>
  <c r="J88" i="13"/>
  <c r="K88" i="13"/>
  <c r="L88" i="13"/>
  <c r="M88" i="13"/>
  <c r="B89" i="13"/>
  <c r="C89" i="13"/>
  <c r="D89" i="13"/>
  <c r="E89" i="13"/>
  <c r="F89" i="13"/>
  <c r="G89" i="13"/>
  <c r="H89" i="13"/>
  <c r="I89" i="13"/>
  <c r="J89" i="13"/>
  <c r="K89" i="13"/>
  <c r="L89" i="13"/>
  <c r="M89" i="13"/>
  <c r="B90" i="13"/>
  <c r="C90" i="13"/>
  <c r="D90" i="13"/>
  <c r="E90" i="13"/>
  <c r="F90" i="13"/>
  <c r="G90" i="13"/>
  <c r="H90" i="13"/>
  <c r="I90" i="13"/>
  <c r="J90" i="13"/>
  <c r="K90" i="13"/>
  <c r="L90" i="13"/>
  <c r="M90" i="13"/>
  <c r="B91" i="13"/>
  <c r="C91" i="13"/>
  <c r="D91" i="13"/>
  <c r="E91" i="13"/>
  <c r="F91" i="13"/>
  <c r="G91" i="13"/>
  <c r="H91" i="13"/>
  <c r="I91" i="13"/>
  <c r="J91" i="13"/>
  <c r="K91" i="13"/>
  <c r="L91" i="13"/>
  <c r="M91" i="13"/>
  <c r="B92" i="13"/>
  <c r="C92" i="13"/>
  <c r="D92" i="13"/>
  <c r="E92" i="13"/>
  <c r="F92" i="13"/>
  <c r="G92" i="13"/>
  <c r="H92" i="13"/>
  <c r="I92" i="13"/>
  <c r="J92" i="13"/>
  <c r="K92" i="13"/>
  <c r="L92" i="13"/>
  <c r="M92" i="13"/>
  <c r="B93" i="13"/>
  <c r="C93" i="13"/>
  <c r="D93" i="13"/>
  <c r="E93" i="13"/>
  <c r="F93" i="13"/>
  <c r="G93" i="13"/>
  <c r="H93" i="13"/>
  <c r="I93" i="13"/>
  <c r="J93" i="13"/>
  <c r="K93" i="13"/>
  <c r="L93" i="13"/>
  <c r="M93" i="13"/>
  <c r="B94" i="13"/>
  <c r="C94" i="13"/>
  <c r="D94" i="13"/>
  <c r="E94" i="13"/>
  <c r="F94" i="13"/>
  <c r="G94" i="13"/>
  <c r="H94" i="13"/>
  <c r="I94" i="13"/>
  <c r="J94" i="13"/>
  <c r="K94" i="13"/>
  <c r="L94" i="13"/>
  <c r="M94" i="13"/>
  <c r="B95" i="13"/>
  <c r="C95" i="13"/>
  <c r="D95" i="13"/>
  <c r="E95" i="13"/>
  <c r="F95" i="13"/>
  <c r="G95" i="13"/>
  <c r="H95" i="13"/>
  <c r="I95" i="13"/>
  <c r="J95" i="13"/>
  <c r="K95" i="13"/>
  <c r="L95" i="13"/>
  <c r="M95" i="13"/>
  <c r="B96" i="13"/>
  <c r="C96" i="13"/>
  <c r="D96" i="13"/>
  <c r="E96" i="13"/>
  <c r="F96" i="13"/>
  <c r="G96" i="13"/>
  <c r="H96" i="13"/>
  <c r="I96" i="13"/>
  <c r="J96" i="13"/>
  <c r="K96" i="13"/>
  <c r="L96" i="13"/>
  <c r="M96" i="13"/>
  <c r="B97" i="13"/>
  <c r="C97" i="13"/>
  <c r="D97" i="13"/>
  <c r="E97" i="13"/>
  <c r="F97" i="13"/>
  <c r="G97" i="13"/>
  <c r="H97" i="13"/>
  <c r="I97" i="13"/>
  <c r="J97" i="13"/>
  <c r="K97" i="13"/>
  <c r="L97" i="13"/>
  <c r="M97" i="13"/>
  <c r="B98" i="13"/>
  <c r="C98" i="13"/>
  <c r="D98" i="13"/>
  <c r="E98" i="13"/>
  <c r="F98" i="13"/>
  <c r="G98" i="13"/>
  <c r="H98" i="13"/>
  <c r="I98" i="13"/>
  <c r="J98" i="13"/>
  <c r="K98" i="13"/>
  <c r="L98" i="13"/>
  <c r="M98" i="13"/>
  <c r="B99" i="13"/>
  <c r="C99" i="13"/>
  <c r="D99" i="13"/>
  <c r="E99" i="13"/>
  <c r="F99" i="13"/>
  <c r="G99" i="13"/>
  <c r="H99" i="13"/>
  <c r="I99" i="13"/>
  <c r="J99" i="13"/>
  <c r="K99" i="13"/>
  <c r="L99" i="13"/>
  <c r="M99" i="13"/>
  <c r="B100" i="13"/>
  <c r="C100" i="13"/>
  <c r="D100" i="13"/>
  <c r="E100" i="13"/>
  <c r="F100" i="13"/>
  <c r="G100" i="13"/>
  <c r="H100" i="13"/>
  <c r="I100" i="13"/>
  <c r="J100" i="13"/>
  <c r="K100" i="13"/>
  <c r="L100" i="13"/>
  <c r="M100" i="13"/>
  <c r="B101" i="13"/>
  <c r="C101" i="13"/>
  <c r="D101" i="13"/>
  <c r="E101" i="13"/>
  <c r="F101" i="13"/>
  <c r="G101" i="13"/>
  <c r="H101" i="13"/>
  <c r="I101" i="13"/>
  <c r="J101" i="13"/>
  <c r="K101" i="13"/>
  <c r="L101" i="13"/>
  <c r="M101" i="13"/>
  <c r="B102" i="13"/>
  <c r="C102" i="13"/>
  <c r="D102" i="13"/>
  <c r="E102" i="13"/>
  <c r="F102" i="13"/>
  <c r="G102" i="13"/>
  <c r="H102" i="13"/>
  <c r="I102" i="13"/>
  <c r="J102" i="13"/>
  <c r="K102" i="13"/>
  <c r="L102" i="13"/>
  <c r="M102" i="13"/>
  <c r="B103" i="13"/>
  <c r="C103" i="13"/>
  <c r="D103" i="13"/>
  <c r="E103" i="13"/>
  <c r="F103" i="13"/>
  <c r="G103" i="13"/>
  <c r="H103" i="13"/>
  <c r="I103" i="13"/>
  <c r="J103" i="13"/>
  <c r="K103" i="13"/>
  <c r="L103" i="13"/>
  <c r="M103" i="13"/>
  <c r="B104" i="13"/>
  <c r="C104" i="13"/>
  <c r="D104" i="13"/>
  <c r="E104" i="13"/>
  <c r="F104" i="13"/>
  <c r="G104" i="13"/>
  <c r="H104" i="13"/>
  <c r="I104" i="13"/>
  <c r="J104" i="13"/>
  <c r="K104" i="13"/>
  <c r="L104" i="13"/>
  <c r="M104" i="13"/>
  <c r="B105" i="13"/>
  <c r="C105" i="13"/>
  <c r="D105" i="13"/>
  <c r="E105" i="13"/>
  <c r="F105" i="13"/>
  <c r="G105" i="13"/>
  <c r="H105" i="13"/>
  <c r="I105" i="13"/>
  <c r="J105" i="13"/>
  <c r="K105" i="13"/>
  <c r="L105" i="13"/>
  <c r="M105" i="13"/>
  <c r="B106" i="13"/>
  <c r="C106" i="13"/>
  <c r="D106" i="13"/>
  <c r="E106" i="13"/>
  <c r="F106" i="13"/>
  <c r="G106" i="13"/>
  <c r="H106" i="13"/>
  <c r="I106" i="13"/>
  <c r="J106" i="13"/>
  <c r="K106" i="13"/>
  <c r="L106" i="13"/>
  <c r="M106" i="13"/>
  <c r="B107" i="13"/>
  <c r="C107" i="13"/>
  <c r="D107" i="13"/>
  <c r="E107" i="13"/>
  <c r="F107" i="13"/>
  <c r="G107" i="13"/>
  <c r="H107" i="13"/>
  <c r="I107" i="13"/>
  <c r="J107" i="13"/>
  <c r="K107" i="13"/>
  <c r="L107" i="13"/>
  <c r="M107" i="13"/>
  <c r="B108" i="13"/>
  <c r="C108" i="13"/>
  <c r="D108" i="13"/>
  <c r="E108" i="13"/>
  <c r="F108" i="13"/>
  <c r="G108" i="13"/>
  <c r="H108" i="13"/>
  <c r="I108" i="13"/>
  <c r="J108" i="13"/>
  <c r="K108" i="13"/>
  <c r="L108" i="13"/>
  <c r="M108" i="13"/>
  <c r="B109" i="13"/>
  <c r="C109" i="13"/>
  <c r="D109" i="13"/>
  <c r="E109" i="13"/>
  <c r="F109" i="13"/>
  <c r="G109" i="13"/>
  <c r="H109" i="13"/>
  <c r="I109" i="13"/>
  <c r="J109" i="13"/>
  <c r="K109" i="13"/>
  <c r="L109" i="13"/>
  <c r="M109" i="13"/>
  <c r="B110" i="13"/>
  <c r="C110" i="13"/>
  <c r="D110" i="13"/>
  <c r="E110" i="13"/>
  <c r="F110" i="13"/>
  <c r="G110" i="13"/>
  <c r="H110" i="13"/>
  <c r="I110" i="13"/>
  <c r="J110" i="13"/>
  <c r="K110" i="13"/>
  <c r="L110" i="13"/>
  <c r="M110" i="13"/>
  <c r="B111" i="13"/>
  <c r="C111" i="13"/>
  <c r="D111" i="13"/>
  <c r="E111" i="13"/>
  <c r="F111" i="13"/>
  <c r="G111" i="13"/>
  <c r="H111" i="13"/>
  <c r="I111" i="13"/>
  <c r="J111" i="13"/>
  <c r="K111" i="13"/>
  <c r="L111" i="13"/>
  <c r="M111" i="13"/>
  <c r="B112" i="13"/>
  <c r="C112" i="13"/>
  <c r="D112" i="13"/>
  <c r="E112" i="13"/>
  <c r="F112" i="13"/>
  <c r="G112" i="13"/>
  <c r="H112" i="13"/>
  <c r="I112" i="13"/>
  <c r="J112" i="13"/>
  <c r="K112" i="13"/>
  <c r="L112" i="13"/>
  <c r="M112" i="13"/>
  <c r="B113" i="13"/>
  <c r="C113" i="13"/>
  <c r="D113" i="13"/>
  <c r="E113" i="13"/>
  <c r="F113" i="13"/>
  <c r="G113" i="13"/>
  <c r="H113" i="13"/>
  <c r="I113" i="13"/>
  <c r="J113" i="13"/>
  <c r="K113" i="13"/>
  <c r="L113" i="13"/>
  <c r="M113" i="13"/>
  <c r="B114" i="13"/>
  <c r="C114" i="13"/>
  <c r="D114" i="13"/>
  <c r="E114" i="13"/>
  <c r="F114" i="13"/>
  <c r="G114" i="13"/>
  <c r="H114" i="13"/>
  <c r="I114" i="13"/>
  <c r="J114" i="13"/>
  <c r="K114" i="13"/>
  <c r="L114" i="13"/>
  <c r="M114" i="13"/>
  <c r="B115" i="13"/>
  <c r="C115" i="13"/>
  <c r="D115" i="13"/>
  <c r="E115" i="13"/>
  <c r="F115" i="13"/>
  <c r="G115" i="13"/>
  <c r="H115" i="13"/>
  <c r="I115" i="13"/>
  <c r="J115" i="13"/>
  <c r="K115" i="13"/>
  <c r="L115" i="13"/>
  <c r="M115" i="13"/>
  <c r="B116" i="13"/>
  <c r="C116" i="13"/>
  <c r="D116" i="13"/>
  <c r="E116" i="13"/>
  <c r="F116" i="13"/>
  <c r="G116" i="13"/>
  <c r="H116" i="13"/>
  <c r="I116" i="13"/>
  <c r="J116" i="13"/>
  <c r="K116" i="13"/>
  <c r="L116" i="13"/>
  <c r="M116" i="13"/>
  <c r="B117" i="13"/>
  <c r="C117" i="13"/>
  <c r="D117" i="13"/>
  <c r="E117" i="13"/>
  <c r="F117" i="13"/>
  <c r="G117" i="13"/>
  <c r="H117" i="13"/>
  <c r="I117" i="13"/>
  <c r="J117" i="13"/>
  <c r="K117" i="13"/>
  <c r="L117" i="13"/>
  <c r="M117" i="13"/>
  <c r="B118" i="13"/>
  <c r="C118" i="13"/>
  <c r="D118" i="13"/>
  <c r="E118" i="13"/>
  <c r="F118" i="13"/>
  <c r="G118" i="13"/>
  <c r="H118" i="13"/>
  <c r="I118" i="13"/>
  <c r="J118" i="13"/>
  <c r="K118" i="13"/>
  <c r="L118" i="13"/>
  <c r="M118" i="13"/>
  <c r="B119" i="13"/>
  <c r="C119" i="13"/>
  <c r="D119" i="13"/>
  <c r="E119" i="13"/>
  <c r="F119" i="13"/>
  <c r="G119" i="13"/>
  <c r="H119" i="13"/>
  <c r="I119" i="13"/>
  <c r="J119" i="13"/>
  <c r="K119" i="13"/>
  <c r="L119" i="13"/>
  <c r="M119" i="13"/>
  <c r="B120" i="13"/>
  <c r="C120" i="13"/>
  <c r="D120" i="13"/>
  <c r="E120" i="13"/>
  <c r="F120" i="13"/>
  <c r="G120" i="13"/>
  <c r="H120" i="13"/>
  <c r="I120" i="13"/>
  <c r="J120" i="13"/>
  <c r="K120" i="13"/>
  <c r="L120" i="13"/>
  <c r="M120" i="13"/>
  <c r="B121" i="13"/>
  <c r="C121" i="13"/>
  <c r="D121" i="13"/>
  <c r="E121" i="13"/>
  <c r="F121" i="13"/>
  <c r="G121" i="13"/>
  <c r="H121" i="13"/>
  <c r="I121" i="13"/>
  <c r="J121" i="13"/>
  <c r="K121" i="13"/>
  <c r="L121" i="13"/>
  <c r="M121" i="13"/>
  <c r="B122" i="13"/>
  <c r="C122" i="13"/>
  <c r="D122" i="13"/>
  <c r="E122" i="13"/>
  <c r="F122" i="13"/>
  <c r="G122" i="13"/>
  <c r="H122" i="13"/>
  <c r="I122" i="13"/>
  <c r="J122" i="13"/>
  <c r="K122" i="13"/>
  <c r="L122" i="13"/>
  <c r="M122" i="13"/>
  <c r="B123" i="13"/>
  <c r="C123" i="13"/>
  <c r="D123" i="13"/>
  <c r="E123" i="13"/>
  <c r="F123" i="13"/>
  <c r="G123" i="13"/>
  <c r="H123" i="13"/>
  <c r="I123" i="13"/>
  <c r="J123" i="13"/>
  <c r="K123" i="13"/>
  <c r="L123" i="13"/>
  <c r="M123" i="13"/>
  <c r="B124" i="13"/>
  <c r="C124" i="13"/>
  <c r="D124" i="13"/>
  <c r="E124" i="13"/>
  <c r="F124" i="13"/>
  <c r="G124" i="13"/>
  <c r="H124" i="13"/>
  <c r="I124" i="13"/>
  <c r="J124" i="13"/>
  <c r="K124" i="13"/>
  <c r="L124" i="13"/>
  <c r="M124" i="13"/>
  <c r="B125" i="13"/>
  <c r="C125" i="13"/>
  <c r="D125" i="13"/>
  <c r="E125" i="13"/>
  <c r="F125" i="13"/>
  <c r="G125" i="13"/>
  <c r="H125" i="13"/>
  <c r="I125" i="13"/>
  <c r="J125" i="13"/>
  <c r="K125" i="13"/>
  <c r="L125" i="13"/>
  <c r="M125" i="13"/>
  <c r="B126" i="13"/>
  <c r="C126" i="13"/>
  <c r="D126" i="13"/>
  <c r="E126" i="13"/>
  <c r="F126" i="13"/>
  <c r="G126" i="13"/>
  <c r="H126" i="13"/>
  <c r="I126" i="13"/>
  <c r="J126" i="13"/>
  <c r="K126" i="13"/>
  <c r="L126" i="13"/>
  <c r="M126" i="13"/>
  <c r="B127" i="13"/>
  <c r="C127" i="13"/>
  <c r="D127" i="13"/>
  <c r="E127" i="13"/>
  <c r="F127" i="13"/>
  <c r="G127" i="13"/>
  <c r="H127" i="13"/>
  <c r="I127" i="13"/>
  <c r="J127" i="13"/>
  <c r="K127" i="13"/>
  <c r="L127" i="13"/>
  <c r="M127" i="13"/>
  <c r="B128" i="13"/>
  <c r="C128" i="13"/>
  <c r="D128" i="13"/>
  <c r="E128" i="13"/>
  <c r="F128" i="13"/>
  <c r="G128" i="13"/>
  <c r="H128" i="13"/>
  <c r="I128" i="13"/>
  <c r="J128" i="13"/>
  <c r="K128" i="13"/>
  <c r="L128" i="13"/>
  <c r="M128" i="13"/>
  <c r="B129" i="13"/>
  <c r="C129" i="13"/>
  <c r="D129" i="13"/>
  <c r="E129" i="13"/>
  <c r="F129" i="13"/>
  <c r="G129" i="13"/>
  <c r="H129" i="13"/>
  <c r="I129" i="13"/>
  <c r="J129" i="13"/>
  <c r="K129" i="13"/>
  <c r="L129" i="13"/>
  <c r="M129" i="13"/>
  <c r="B130" i="13"/>
  <c r="C130" i="13"/>
  <c r="D130" i="13"/>
  <c r="E130" i="13"/>
  <c r="F130" i="13"/>
  <c r="G130" i="13"/>
  <c r="H130" i="13"/>
  <c r="I130" i="13"/>
  <c r="J130" i="13"/>
  <c r="K130" i="13"/>
  <c r="L130" i="13"/>
  <c r="M130" i="13"/>
  <c r="B131" i="13"/>
  <c r="C131" i="13"/>
  <c r="D131" i="13"/>
  <c r="E131" i="13"/>
  <c r="F131" i="13"/>
  <c r="G131" i="13"/>
  <c r="H131" i="13"/>
  <c r="I131" i="13"/>
  <c r="J131" i="13"/>
  <c r="K131" i="13"/>
  <c r="L131" i="13"/>
  <c r="M131" i="13"/>
  <c r="B132" i="13"/>
  <c r="C132" i="13"/>
  <c r="D132" i="13"/>
  <c r="E132" i="13"/>
  <c r="F132" i="13"/>
  <c r="G132" i="13"/>
  <c r="H132" i="13"/>
  <c r="I132" i="13"/>
  <c r="J132" i="13"/>
  <c r="K132" i="13"/>
  <c r="L132" i="13"/>
  <c r="M132" i="13"/>
  <c r="B133" i="13"/>
  <c r="C133" i="13"/>
  <c r="D133" i="13"/>
  <c r="E133" i="13"/>
  <c r="F133" i="13"/>
  <c r="G133" i="13"/>
  <c r="H133" i="13"/>
  <c r="I133" i="13"/>
  <c r="J133" i="13"/>
  <c r="K133" i="13"/>
  <c r="L133" i="13"/>
  <c r="M133" i="13"/>
  <c r="B134" i="13"/>
  <c r="C134" i="13"/>
  <c r="D134" i="13"/>
  <c r="E134" i="13"/>
  <c r="F134" i="13"/>
  <c r="G134" i="13"/>
  <c r="H134" i="13"/>
  <c r="I134" i="13"/>
  <c r="J134" i="13"/>
  <c r="K134" i="13"/>
  <c r="L134" i="13"/>
  <c r="M134" i="13"/>
  <c r="B135" i="13"/>
  <c r="C135" i="13"/>
  <c r="D135" i="13"/>
  <c r="E135" i="13"/>
  <c r="F135" i="13"/>
  <c r="G135" i="13"/>
  <c r="H135" i="13"/>
  <c r="I135" i="13"/>
  <c r="J135" i="13"/>
  <c r="K135" i="13"/>
  <c r="L135" i="13"/>
  <c r="M135" i="13"/>
  <c r="B136" i="13"/>
  <c r="C136" i="13"/>
  <c r="D136" i="13"/>
  <c r="E136" i="13"/>
  <c r="F136" i="13"/>
  <c r="G136" i="13"/>
  <c r="H136" i="13"/>
  <c r="I136" i="13"/>
  <c r="J136" i="13"/>
  <c r="K136" i="13"/>
  <c r="L136" i="13"/>
  <c r="M136" i="13"/>
  <c r="B137" i="13"/>
  <c r="C137" i="13"/>
  <c r="D137" i="13"/>
  <c r="E137" i="13"/>
  <c r="F137" i="13"/>
  <c r="G137" i="13"/>
  <c r="H137" i="13"/>
  <c r="I137" i="13"/>
  <c r="J137" i="13"/>
  <c r="K137" i="13"/>
  <c r="L137" i="13"/>
  <c r="M137" i="13"/>
  <c r="B138" i="13"/>
  <c r="C138" i="13"/>
  <c r="D138" i="13"/>
  <c r="E138" i="13"/>
  <c r="F138" i="13"/>
  <c r="G138" i="13"/>
  <c r="H138" i="13"/>
  <c r="I138" i="13"/>
  <c r="J138" i="13"/>
  <c r="K138" i="13"/>
  <c r="L138" i="13"/>
  <c r="M138" i="13"/>
  <c r="B139" i="13"/>
  <c r="C139" i="13"/>
  <c r="D139" i="13"/>
  <c r="E139" i="13"/>
  <c r="F139" i="13"/>
  <c r="G139" i="13"/>
  <c r="H139" i="13"/>
  <c r="I139" i="13"/>
  <c r="J139" i="13"/>
  <c r="K139" i="13"/>
  <c r="L139" i="13"/>
  <c r="M139" i="13"/>
  <c r="B140" i="13"/>
  <c r="C140" i="13"/>
  <c r="D140" i="13"/>
  <c r="E140" i="13"/>
  <c r="F140" i="13"/>
  <c r="G140" i="13"/>
  <c r="H140" i="13"/>
  <c r="I140" i="13"/>
  <c r="J140" i="13"/>
  <c r="K140" i="13"/>
  <c r="L140" i="13"/>
  <c r="M140" i="13"/>
  <c r="B141" i="13"/>
  <c r="C141" i="13"/>
  <c r="D141" i="13"/>
  <c r="E141" i="13"/>
  <c r="F141" i="13"/>
  <c r="G141" i="13"/>
  <c r="H141" i="13"/>
  <c r="I141" i="13"/>
  <c r="J141" i="13"/>
  <c r="K141" i="13"/>
  <c r="L141" i="13"/>
  <c r="M141" i="13"/>
  <c r="B142" i="13"/>
  <c r="C142" i="13"/>
  <c r="D142" i="13"/>
  <c r="E142" i="13"/>
  <c r="F142" i="13"/>
  <c r="G142" i="13"/>
  <c r="H142" i="13"/>
  <c r="I142" i="13"/>
  <c r="J142" i="13"/>
  <c r="K142" i="13"/>
  <c r="L142" i="13"/>
  <c r="M142" i="13"/>
  <c r="B143" i="13"/>
  <c r="C143" i="13"/>
  <c r="D143" i="13"/>
  <c r="E143" i="13"/>
  <c r="F143" i="13"/>
  <c r="G143" i="13"/>
  <c r="H143" i="13"/>
  <c r="I143" i="13"/>
  <c r="J143" i="13"/>
  <c r="K143" i="13"/>
  <c r="L143" i="13"/>
  <c r="M143" i="13"/>
  <c r="B144" i="13"/>
  <c r="C144" i="13"/>
  <c r="D144" i="13"/>
  <c r="E144" i="13"/>
  <c r="F144" i="13"/>
  <c r="G144" i="13"/>
  <c r="H144" i="13"/>
  <c r="I144" i="13"/>
  <c r="J144" i="13"/>
  <c r="K144" i="13"/>
  <c r="L144" i="13"/>
  <c r="M144" i="13"/>
  <c r="B145" i="13"/>
  <c r="C145" i="13"/>
  <c r="D145" i="13"/>
  <c r="E145" i="13"/>
  <c r="F145" i="13"/>
  <c r="G145" i="13"/>
  <c r="H145" i="13"/>
  <c r="I145" i="13"/>
  <c r="J145" i="13"/>
  <c r="K145" i="13"/>
  <c r="L145" i="13"/>
  <c r="M145" i="13"/>
  <c r="B146" i="13"/>
  <c r="C146" i="13"/>
  <c r="D146" i="13"/>
  <c r="E146" i="13"/>
  <c r="F146" i="13"/>
  <c r="G146" i="13"/>
  <c r="H146" i="13"/>
  <c r="I146" i="13"/>
  <c r="J146" i="13"/>
  <c r="K146" i="13"/>
  <c r="L146" i="13"/>
  <c r="M146" i="13"/>
  <c r="B147" i="13"/>
  <c r="C147" i="13"/>
  <c r="D147" i="13"/>
  <c r="E147" i="13"/>
  <c r="F147" i="13"/>
  <c r="G147" i="13"/>
  <c r="H147" i="13"/>
  <c r="I147" i="13"/>
  <c r="J147" i="13"/>
  <c r="K147" i="13"/>
  <c r="L147" i="13"/>
  <c r="M147" i="13"/>
  <c r="B148" i="13"/>
  <c r="C148" i="13"/>
  <c r="D148" i="13"/>
  <c r="E148" i="13"/>
  <c r="F148" i="13"/>
  <c r="G148" i="13"/>
  <c r="H148" i="13"/>
  <c r="I148" i="13"/>
  <c r="J148" i="13"/>
  <c r="K148" i="13"/>
  <c r="L148" i="13"/>
  <c r="M148" i="13"/>
  <c r="B149" i="13"/>
  <c r="C149" i="13"/>
  <c r="D149" i="13"/>
  <c r="E149" i="13"/>
  <c r="F149" i="13"/>
  <c r="G149" i="13"/>
  <c r="H149" i="13"/>
  <c r="I149" i="13"/>
  <c r="J149" i="13"/>
  <c r="K149" i="13"/>
  <c r="L149" i="13"/>
  <c r="M149" i="13"/>
  <c r="B150" i="13"/>
  <c r="C150" i="13"/>
  <c r="D150" i="13"/>
  <c r="E150" i="13"/>
  <c r="F150" i="13"/>
  <c r="G150" i="13"/>
  <c r="H150" i="13"/>
  <c r="I150" i="13"/>
  <c r="J150" i="13"/>
  <c r="K150" i="13"/>
  <c r="L150" i="13"/>
  <c r="M150" i="13"/>
  <c r="B151" i="13"/>
  <c r="C151" i="13"/>
  <c r="D151" i="13"/>
  <c r="E151" i="13"/>
  <c r="F151" i="13"/>
  <c r="G151" i="13"/>
  <c r="H151" i="13"/>
  <c r="I151" i="13"/>
  <c r="J151" i="13"/>
  <c r="K151" i="13"/>
  <c r="L151" i="13"/>
  <c r="M151" i="13"/>
  <c r="B152" i="13"/>
  <c r="C152" i="13"/>
  <c r="D152" i="13"/>
  <c r="E152" i="13"/>
  <c r="F152" i="13"/>
  <c r="G152" i="13"/>
  <c r="H152" i="13"/>
  <c r="I152" i="13"/>
  <c r="J152" i="13"/>
  <c r="K152" i="13"/>
  <c r="L152" i="13"/>
  <c r="M152" i="13"/>
  <c r="B153" i="13"/>
  <c r="C153" i="13"/>
  <c r="D153" i="13"/>
  <c r="E153" i="13"/>
  <c r="F153" i="13"/>
  <c r="G153" i="13"/>
  <c r="H153" i="13"/>
  <c r="I153" i="13"/>
  <c r="J153" i="13"/>
  <c r="K153" i="13"/>
  <c r="L153" i="13"/>
  <c r="M153" i="13"/>
  <c r="B154" i="13"/>
  <c r="C154" i="13"/>
  <c r="D154" i="13"/>
  <c r="E154" i="13"/>
  <c r="F154" i="13"/>
  <c r="G154" i="13"/>
  <c r="H154" i="13"/>
  <c r="I154" i="13"/>
  <c r="J154" i="13"/>
  <c r="K154" i="13"/>
  <c r="L154" i="13"/>
  <c r="M154" i="13"/>
  <c r="B155" i="13"/>
  <c r="C155" i="13"/>
  <c r="D155" i="13"/>
  <c r="E155" i="13"/>
  <c r="F155" i="13"/>
  <c r="G155" i="13"/>
  <c r="H155" i="13"/>
  <c r="I155" i="13"/>
  <c r="J155" i="13"/>
  <c r="K155" i="13"/>
  <c r="L155" i="13"/>
  <c r="M155" i="13"/>
  <c r="B156" i="13"/>
  <c r="C156" i="13"/>
  <c r="D156" i="13"/>
  <c r="E156" i="13"/>
  <c r="F156" i="13"/>
  <c r="G156" i="13"/>
  <c r="H156" i="13"/>
  <c r="I156" i="13"/>
  <c r="J156" i="13"/>
  <c r="K156" i="13"/>
  <c r="L156" i="13"/>
  <c r="M156" i="13"/>
  <c r="B157" i="13"/>
  <c r="C157" i="13"/>
  <c r="D157" i="13"/>
  <c r="E157" i="13"/>
  <c r="F157" i="13"/>
  <c r="G157" i="13"/>
  <c r="H157" i="13"/>
  <c r="I157" i="13"/>
  <c r="J157" i="13"/>
  <c r="K157" i="13"/>
  <c r="L157" i="13"/>
  <c r="M157" i="13"/>
  <c r="B158" i="13"/>
  <c r="C158" i="13"/>
  <c r="D158" i="13"/>
  <c r="E158" i="13"/>
  <c r="F158" i="13"/>
  <c r="G158" i="13"/>
  <c r="H158" i="13"/>
  <c r="I158" i="13"/>
  <c r="J158" i="13"/>
  <c r="K158" i="13"/>
  <c r="L158" i="13"/>
  <c r="M158" i="13"/>
  <c r="B159" i="13"/>
  <c r="C159" i="13"/>
  <c r="D159" i="13"/>
  <c r="E159" i="13"/>
  <c r="F159" i="13"/>
  <c r="G159" i="13"/>
  <c r="H159" i="13"/>
  <c r="I159" i="13"/>
  <c r="J159" i="13"/>
  <c r="K159" i="13"/>
  <c r="L159" i="13"/>
  <c r="M159" i="13"/>
  <c r="B160" i="13"/>
  <c r="C160" i="13"/>
  <c r="D160" i="13"/>
  <c r="E160" i="13"/>
  <c r="F160" i="13"/>
  <c r="G160" i="13"/>
  <c r="H160" i="13"/>
  <c r="I160" i="13"/>
  <c r="J160" i="13"/>
  <c r="K160" i="13"/>
  <c r="L160" i="13"/>
  <c r="M160" i="13"/>
  <c r="B161" i="13"/>
  <c r="C161" i="13"/>
  <c r="D161" i="13"/>
  <c r="E161" i="13"/>
  <c r="F161" i="13"/>
  <c r="G161" i="13"/>
  <c r="H161" i="13"/>
  <c r="I161" i="13"/>
  <c r="J161" i="13"/>
  <c r="K161" i="13"/>
  <c r="L161" i="13"/>
  <c r="M161" i="13"/>
  <c r="B162" i="13"/>
  <c r="C162" i="13"/>
  <c r="D162" i="13"/>
  <c r="E162" i="13"/>
  <c r="F162" i="13"/>
  <c r="G162" i="13"/>
  <c r="H162" i="13"/>
  <c r="I162" i="13"/>
  <c r="J162" i="13"/>
  <c r="K162" i="13"/>
  <c r="L162" i="13"/>
  <c r="M162" i="13"/>
  <c r="B163" i="13"/>
  <c r="C163" i="13"/>
  <c r="D163" i="13"/>
  <c r="E163" i="13"/>
  <c r="F163" i="13"/>
  <c r="G163" i="13"/>
  <c r="H163" i="13"/>
  <c r="I163" i="13"/>
  <c r="J163" i="13"/>
  <c r="K163" i="13"/>
  <c r="L163" i="13"/>
  <c r="M163" i="13"/>
  <c r="B164" i="13"/>
  <c r="C164" i="13"/>
  <c r="D164" i="13"/>
  <c r="E164" i="13"/>
  <c r="F164" i="13"/>
  <c r="G164" i="13"/>
  <c r="H164" i="13"/>
  <c r="I164" i="13"/>
  <c r="J164" i="13"/>
  <c r="K164" i="13"/>
  <c r="L164" i="13"/>
  <c r="M164" i="13"/>
  <c r="B165" i="13"/>
  <c r="C165" i="13"/>
  <c r="D165" i="13"/>
  <c r="E165" i="13"/>
  <c r="F165" i="13"/>
  <c r="G165" i="13"/>
  <c r="H165" i="13"/>
  <c r="I165" i="13"/>
  <c r="J165" i="13"/>
  <c r="K165" i="13"/>
  <c r="L165" i="13"/>
  <c r="M165" i="13"/>
  <c r="B166" i="13"/>
  <c r="C166" i="13"/>
  <c r="D166" i="13"/>
  <c r="E166" i="13"/>
  <c r="F166" i="13"/>
  <c r="G166" i="13"/>
  <c r="H166" i="13"/>
  <c r="I166" i="13"/>
  <c r="J166" i="13"/>
  <c r="K166" i="13"/>
  <c r="L166" i="13"/>
  <c r="M166" i="13"/>
  <c r="B167" i="13"/>
  <c r="C167" i="13"/>
  <c r="D167" i="13"/>
  <c r="E167" i="13"/>
  <c r="F167" i="13"/>
  <c r="G167" i="13"/>
  <c r="H167" i="13"/>
  <c r="I167" i="13"/>
  <c r="J167" i="13"/>
  <c r="K167" i="13"/>
  <c r="L167" i="13"/>
  <c r="M167" i="13"/>
  <c r="B168" i="13"/>
  <c r="C168" i="13"/>
  <c r="D168" i="13"/>
  <c r="E168" i="13"/>
  <c r="F168" i="13"/>
  <c r="G168" i="13"/>
  <c r="H168" i="13"/>
  <c r="I168" i="13"/>
  <c r="J168" i="13"/>
  <c r="K168" i="13"/>
  <c r="L168" i="13"/>
  <c r="M168" i="13"/>
  <c r="B169" i="13"/>
  <c r="C169" i="13"/>
  <c r="D169" i="13"/>
  <c r="E169" i="13"/>
  <c r="F169" i="13"/>
  <c r="G169" i="13"/>
  <c r="H169" i="13"/>
  <c r="I169" i="13"/>
  <c r="J169" i="13"/>
  <c r="K169" i="13"/>
  <c r="L169" i="13"/>
  <c r="M169" i="13"/>
  <c r="B170" i="13"/>
  <c r="C170" i="13"/>
  <c r="D170" i="13"/>
  <c r="E170" i="13"/>
  <c r="F170" i="13"/>
  <c r="G170" i="13"/>
  <c r="H170" i="13"/>
  <c r="I170" i="13"/>
  <c r="J170" i="13"/>
  <c r="K170" i="13"/>
  <c r="L170" i="13"/>
  <c r="M170" i="13"/>
  <c r="B171" i="13"/>
  <c r="C171" i="13"/>
  <c r="D171" i="13"/>
  <c r="E171" i="13"/>
  <c r="F171" i="13"/>
  <c r="G171" i="13"/>
  <c r="H171" i="13"/>
  <c r="I171" i="13"/>
  <c r="J171" i="13"/>
  <c r="K171" i="13"/>
  <c r="L171" i="13"/>
  <c r="M171" i="13"/>
  <c r="B172" i="13"/>
  <c r="C172" i="13"/>
  <c r="D172" i="13"/>
  <c r="E172" i="13"/>
  <c r="F172" i="13"/>
  <c r="G172" i="13"/>
  <c r="H172" i="13"/>
  <c r="I172" i="13"/>
  <c r="J172" i="13"/>
  <c r="K172" i="13"/>
  <c r="L172" i="13"/>
  <c r="M172" i="13"/>
  <c r="B173" i="13"/>
  <c r="C173" i="13"/>
  <c r="D173" i="13"/>
  <c r="E173" i="13"/>
  <c r="F173" i="13"/>
  <c r="G173" i="13"/>
  <c r="H173" i="13"/>
  <c r="I173" i="13"/>
  <c r="J173" i="13"/>
  <c r="K173" i="13"/>
  <c r="L173" i="13"/>
  <c r="M173" i="13"/>
  <c r="B174" i="13"/>
  <c r="C174" i="13"/>
  <c r="D174" i="13"/>
  <c r="E174" i="13"/>
  <c r="F174" i="13"/>
  <c r="G174" i="13"/>
  <c r="H174" i="13"/>
  <c r="I174" i="13"/>
  <c r="J174" i="13"/>
  <c r="K174" i="13"/>
  <c r="L174" i="13"/>
  <c r="M174" i="13"/>
  <c r="B175" i="13"/>
  <c r="C175" i="13"/>
  <c r="D175" i="13"/>
  <c r="E175" i="13"/>
  <c r="F175" i="13"/>
  <c r="G175" i="13"/>
  <c r="H175" i="13"/>
  <c r="I175" i="13"/>
  <c r="J175" i="13"/>
  <c r="K175" i="13"/>
  <c r="L175" i="13"/>
  <c r="M175" i="13"/>
  <c r="B176" i="13"/>
  <c r="C176" i="13"/>
  <c r="D176" i="13"/>
  <c r="E176" i="13"/>
  <c r="F176" i="13"/>
  <c r="G176" i="13"/>
  <c r="H176" i="13"/>
  <c r="I176" i="13"/>
  <c r="J176" i="13"/>
  <c r="K176" i="13"/>
  <c r="L176" i="13"/>
  <c r="M176" i="13"/>
  <c r="B177" i="13"/>
  <c r="C177" i="13"/>
  <c r="D177" i="13"/>
  <c r="E177" i="13"/>
  <c r="F177" i="13"/>
  <c r="G177" i="13"/>
  <c r="H177" i="13"/>
  <c r="I177" i="13"/>
  <c r="J177" i="13"/>
  <c r="K177" i="13"/>
  <c r="L177" i="13"/>
  <c r="M177" i="13"/>
  <c r="B178" i="13"/>
  <c r="C178" i="13"/>
  <c r="D178" i="13"/>
  <c r="E178" i="13"/>
  <c r="F178" i="13"/>
  <c r="G178" i="13"/>
  <c r="H178" i="13"/>
  <c r="I178" i="13"/>
  <c r="J178" i="13"/>
  <c r="K178" i="13"/>
  <c r="L178" i="13"/>
  <c r="M178" i="13"/>
  <c r="B179" i="13"/>
  <c r="C179" i="13"/>
  <c r="D179" i="13"/>
  <c r="E179" i="13"/>
  <c r="F179" i="13"/>
  <c r="G179" i="13"/>
  <c r="H179" i="13"/>
  <c r="I179" i="13"/>
  <c r="J179" i="13"/>
  <c r="K179" i="13"/>
  <c r="L179" i="13"/>
  <c r="M179" i="13"/>
  <c r="B180" i="13"/>
  <c r="C180" i="13"/>
  <c r="D180" i="13"/>
  <c r="E180" i="13"/>
  <c r="F180" i="13"/>
  <c r="G180" i="13"/>
  <c r="H180" i="13"/>
  <c r="I180" i="13"/>
  <c r="J180" i="13"/>
  <c r="K180" i="13"/>
  <c r="L180" i="13"/>
  <c r="M180" i="13"/>
  <c r="B181" i="13"/>
  <c r="C181" i="13"/>
  <c r="D181" i="13"/>
  <c r="E181" i="13"/>
  <c r="F181" i="13"/>
  <c r="G181" i="13"/>
  <c r="H181" i="13"/>
  <c r="I181" i="13"/>
  <c r="J181" i="13"/>
  <c r="K181" i="13"/>
  <c r="L181" i="13"/>
  <c r="M181" i="13"/>
  <c r="B182" i="13"/>
  <c r="C182" i="13"/>
  <c r="D182" i="13"/>
  <c r="E182" i="13"/>
  <c r="F182" i="13"/>
  <c r="G182" i="13"/>
  <c r="H182" i="13"/>
  <c r="I182" i="13"/>
  <c r="J182" i="13"/>
  <c r="K182" i="13"/>
  <c r="L182" i="13"/>
  <c r="M182" i="13"/>
  <c r="B183" i="13"/>
  <c r="C183" i="13"/>
  <c r="D183" i="13"/>
  <c r="E183" i="13"/>
  <c r="F183" i="13"/>
  <c r="G183" i="13"/>
  <c r="H183" i="13"/>
  <c r="I183" i="13"/>
  <c r="J183" i="13"/>
  <c r="K183" i="13"/>
  <c r="L183" i="13"/>
  <c r="M183" i="13"/>
  <c r="B184" i="13"/>
  <c r="C184" i="13"/>
  <c r="D184" i="13"/>
  <c r="E184" i="13"/>
  <c r="F184" i="13"/>
  <c r="G184" i="13"/>
  <c r="H184" i="13"/>
  <c r="I184" i="13"/>
  <c r="J184" i="13"/>
  <c r="K184" i="13"/>
  <c r="L184" i="13"/>
  <c r="M184" i="13"/>
  <c r="B185" i="13"/>
  <c r="C185" i="13"/>
  <c r="D185" i="13"/>
  <c r="E185" i="13"/>
  <c r="F185" i="13"/>
  <c r="G185" i="13"/>
  <c r="H185" i="13"/>
  <c r="I185" i="13"/>
  <c r="J185" i="13"/>
  <c r="K185" i="13"/>
  <c r="L185" i="13"/>
  <c r="M185" i="13"/>
  <c r="B186" i="13"/>
  <c r="C186" i="13"/>
  <c r="D186" i="13"/>
  <c r="E186" i="13"/>
  <c r="F186" i="13"/>
  <c r="G186" i="13"/>
  <c r="H186" i="13"/>
  <c r="I186" i="13"/>
  <c r="J186" i="13"/>
  <c r="K186" i="13"/>
  <c r="L186" i="13"/>
  <c r="M186" i="13"/>
  <c r="B187" i="13"/>
  <c r="C187" i="13"/>
  <c r="D187" i="13"/>
  <c r="E187" i="13"/>
  <c r="F187" i="13"/>
  <c r="G187" i="13"/>
  <c r="H187" i="13"/>
  <c r="I187" i="13"/>
  <c r="J187" i="13"/>
  <c r="K187" i="13"/>
  <c r="L187" i="13"/>
  <c r="M187" i="13"/>
  <c r="B188" i="13"/>
  <c r="C188" i="13"/>
  <c r="D188" i="13"/>
  <c r="E188" i="13"/>
  <c r="F188" i="13"/>
  <c r="G188" i="13"/>
  <c r="H188" i="13"/>
  <c r="I188" i="13"/>
  <c r="J188" i="13"/>
  <c r="K188" i="13"/>
  <c r="L188" i="13"/>
  <c r="M188" i="13"/>
  <c r="B189" i="13"/>
  <c r="C189" i="13"/>
  <c r="D189" i="13"/>
  <c r="E189" i="13"/>
  <c r="F189" i="13"/>
  <c r="G189" i="13"/>
  <c r="H189" i="13"/>
  <c r="I189" i="13"/>
  <c r="J189" i="13"/>
  <c r="K189" i="13"/>
  <c r="L189" i="13"/>
  <c r="M189" i="13"/>
  <c r="B190" i="13"/>
  <c r="C190" i="13"/>
  <c r="D190" i="13"/>
  <c r="E190" i="13"/>
  <c r="F190" i="13"/>
  <c r="G190" i="13"/>
  <c r="H190" i="13"/>
  <c r="I190" i="13"/>
  <c r="J190" i="13"/>
  <c r="K190" i="13"/>
  <c r="L190" i="13"/>
  <c r="M190" i="13"/>
  <c r="B191" i="13"/>
  <c r="C191" i="13"/>
  <c r="D191" i="13"/>
  <c r="E191" i="13"/>
  <c r="F191" i="13"/>
  <c r="G191" i="13"/>
  <c r="H191" i="13"/>
  <c r="I191" i="13"/>
  <c r="J191" i="13"/>
  <c r="K191" i="13"/>
  <c r="L191" i="13"/>
  <c r="M191" i="13"/>
  <c r="B192" i="13"/>
  <c r="C192" i="13"/>
  <c r="D192" i="13"/>
  <c r="E192" i="13"/>
  <c r="F192" i="13"/>
  <c r="G192" i="13"/>
  <c r="H192" i="13"/>
  <c r="I192" i="13"/>
  <c r="J192" i="13"/>
  <c r="K192" i="13"/>
  <c r="L192" i="13"/>
  <c r="M192" i="13"/>
  <c r="B193" i="13"/>
  <c r="C193" i="13"/>
  <c r="D193" i="13"/>
  <c r="E193" i="13"/>
  <c r="F193" i="13"/>
  <c r="G193" i="13"/>
  <c r="H193" i="13"/>
  <c r="I193" i="13"/>
  <c r="J193" i="13"/>
  <c r="K193" i="13"/>
  <c r="L193" i="13"/>
  <c r="M193" i="13"/>
  <c r="B194" i="13"/>
  <c r="C194" i="13"/>
  <c r="D194" i="13"/>
  <c r="E194" i="13"/>
  <c r="F194" i="13"/>
  <c r="G194" i="13"/>
  <c r="H194" i="13"/>
  <c r="I194" i="13"/>
  <c r="J194" i="13"/>
  <c r="K194" i="13"/>
  <c r="L194" i="13"/>
  <c r="M194" i="13"/>
  <c r="B195" i="13"/>
  <c r="C195" i="13"/>
  <c r="D195" i="13"/>
  <c r="E195" i="13"/>
  <c r="F195" i="13"/>
  <c r="G195" i="13"/>
  <c r="H195" i="13"/>
  <c r="I195" i="13"/>
  <c r="J195" i="13"/>
  <c r="K195" i="13"/>
  <c r="L195" i="13"/>
  <c r="M195" i="13"/>
  <c r="B196" i="13"/>
  <c r="C196" i="13"/>
  <c r="D196" i="13"/>
  <c r="E196" i="13"/>
  <c r="F196" i="13"/>
  <c r="G196" i="13"/>
  <c r="H196" i="13"/>
  <c r="I196" i="13"/>
  <c r="J196" i="13"/>
  <c r="K196" i="13"/>
  <c r="L196" i="13"/>
  <c r="M196" i="13"/>
  <c r="B197" i="13"/>
  <c r="C197" i="13"/>
  <c r="D197" i="13"/>
  <c r="E197" i="13"/>
  <c r="F197" i="13"/>
  <c r="G197" i="13"/>
  <c r="H197" i="13"/>
  <c r="I197" i="13"/>
  <c r="J197" i="13"/>
  <c r="K197" i="13"/>
  <c r="L197" i="13"/>
  <c r="M197" i="13"/>
  <c r="B198" i="13"/>
  <c r="C198" i="13"/>
  <c r="D198" i="13"/>
  <c r="E198" i="13"/>
  <c r="F198" i="13"/>
  <c r="G198" i="13"/>
  <c r="H198" i="13"/>
  <c r="I198" i="13"/>
  <c r="J198" i="13"/>
  <c r="K198" i="13"/>
  <c r="L198" i="13"/>
  <c r="M198" i="13"/>
  <c r="B199" i="13"/>
  <c r="C199" i="13"/>
  <c r="D199" i="13"/>
  <c r="E199" i="13"/>
  <c r="F199" i="13"/>
  <c r="G199" i="13"/>
  <c r="H199" i="13"/>
  <c r="I199" i="13"/>
  <c r="J199" i="13"/>
  <c r="K199" i="13"/>
  <c r="L199" i="13"/>
  <c r="M199" i="13"/>
  <c r="B200" i="13"/>
  <c r="C200" i="13"/>
  <c r="D200" i="13"/>
  <c r="E200" i="13"/>
  <c r="F200" i="13"/>
  <c r="G200" i="13"/>
  <c r="H200" i="13"/>
  <c r="I200" i="13"/>
  <c r="J200" i="13"/>
  <c r="K200" i="13"/>
  <c r="L200" i="13"/>
  <c r="M200" i="13"/>
  <c r="B201" i="13"/>
  <c r="C201" i="13"/>
  <c r="D201" i="13"/>
  <c r="E201" i="13"/>
  <c r="F201" i="13"/>
  <c r="G201" i="13"/>
  <c r="H201" i="13"/>
  <c r="I201" i="13"/>
  <c r="J201" i="13"/>
  <c r="K201" i="13"/>
  <c r="L201" i="13"/>
  <c r="M201" i="13"/>
  <c r="B202" i="13"/>
  <c r="C202" i="13"/>
  <c r="D202" i="13"/>
  <c r="E202" i="13"/>
  <c r="F202" i="13"/>
  <c r="G202" i="13"/>
  <c r="H202" i="13"/>
  <c r="I202" i="13"/>
  <c r="J202" i="13"/>
  <c r="K202" i="13"/>
  <c r="L202" i="13"/>
  <c r="M202" i="13"/>
  <c r="B203" i="13"/>
  <c r="C203" i="13"/>
  <c r="D203" i="13"/>
  <c r="E203" i="13"/>
  <c r="F203" i="13"/>
  <c r="G203" i="13"/>
  <c r="H203" i="13"/>
  <c r="I203" i="13"/>
  <c r="J203" i="13"/>
  <c r="K203" i="13"/>
  <c r="L203" i="13"/>
  <c r="M203" i="13"/>
  <c r="B204" i="13"/>
  <c r="C204" i="13"/>
  <c r="D204" i="13"/>
  <c r="E204" i="13"/>
  <c r="F204" i="13"/>
  <c r="G204" i="13"/>
  <c r="H204" i="13"/>
  <c r="I204" i="13"/>
  <c r="J204" i="13"/>
  <c r="K204" i="13"/>
  <c r="L204" i="13"/>
  <c r="M204" i="13"/>
  <c r="B205" i="13"/>
  <c r="C205" i="13"/>
  <c r="D205" i="13"/>
  <c r="E205" i="13"/>
  <c r="F205" i="13"/>
  <c r="G205" i="13"/>
  <c r="H205" i="13"/>
  <c r="I205" i="13"/>
  <c r="J205" i="13"/>
  <c r="K205" i="13"/>
  <c r="L205" i="13"/>
  <c r="M205" i="13"/>
  <c r="B206" i="13"/>
  <c r="C206" i="13"/>
  <c r="D206" i="13"/>
  <c r="E206" i="13"/>
  <c r="F206" i="13"/>
  <c r="G206" i="13"/>
  <c r="H206" i="13"/>
  <c r="I206" i="13"/>
  <c r="J206" i="13"/>
  <c r="K206" i="13"/>
  <c r="L206" i="13"/>
  <c r="M206" i="13"/>
  <c r="B207" i="13"/>
  <c r="C207" i="13"/>
  <c r="D207" i="13"/>
  <c r="E207" i="13"/>
  <c r="F207" i="13"/>
  <c r="G207" i="13"/>
  <c r="H207" i="13"/>
  <c r="I207" i="13"/>
  <c r="J207" i="13"/>
  <c r="K207" i="13"/>
  <c r="L207" i="13"/>
  <c r="M207" i="13"/>
  <c r="B208" i="13"/>
  <c r="C208" i="13"/>
  <c r="D208" i="13"/>
  <c r="E208" i="13"/>
  <c r="F208" i="13"/>
  <c r="G208" i="13"/>
  <c r="H208" i="13"/>
  <c r="I208" i="13"/>
  <c r="J208" i="13"/>
  <c r="K208" i="13"/>
  <c r="L208" i="13"/>
  <c r="M208" i="13"/>
  <c r="B209" i="13"/>
  <c r="C209" i="13"/>
  <c r="D209" i="13"/>
  <c r="E209" i="13"/>
  <c r="F209" i="13"/>
  <c r="G209" i="13"/>
  <c r="H209" i="13"/>
  <c r="I209" i="13"/>
  <c r="J209" i="13"/>
  <c r="K209" i="13"/>
  <c r="L209" i="13"/>
  <c r="M209" i="13"/>
  <c r="B210" i="13"/>
  <c r="C210" i="13"/>
  <c r="D210" i="13"/>
  <c r="E210" i="13"/>
  <c r="F210" i="13"/>
  <c r="G210" i="13"/>
  <c r="H210" i="13"/>
  <c r="I210" i="13"/>
  <c r="J210" i="13"/>
  <c r="K210" i="13"/>
  <c r="L210" i="13"/>
  <c r="M210" i="13"/>
  <c r="B211" i="13"/>
  <c r="C211" i="13"/>
  <c r="D211" i="13"/>
  <c r="E211" i="13"/>
  <c r="F211" i="13"/>
  <c r="G211" i="13"/>
  <c r="H211" i="13"/>
  <c r="I211" i="13"/>
  <c r="J211" i="13"/>
  <c r="K211" i="13"/>
  <c r="L211" i="13"/>
  <c r="M211" i="13"/>
  <c r="B212" i="13"/>
  <c r="C212" i="13"/>
  <c r="D212" i="13"/>
  <c r="E212" i="13"/>
  <c r="F212" i="13"/>
  <c r="G212" i="13"/>
  <c r="H212" i="13"/>
  <c r="I212" i="13"/>
  <c r="J212" i="13"/>
  <c r="K212" i="13"/>
  <c r="L212" i="13"/>
  <c r="M212" i="13"/>
  <c r="B213" i="13"/>
  <c r="C213" i="13"/>
  <c r="D213" i="13"/>
  <c r="E213" i="13"/>
  <c r="F213" i="13"/>
  <c r="G213" i="13"/>
  <c r="H213" i="13"/>
  <c r="I213" i="13"/>
  <c r="J213" i="13"/>
  <c r="K213" i="13"/>
  <c r="L213" i="13"/>
  <c r="M213" i="13"/>
  <c r="B214" i="13"/>
  <c r="C214" i="13"/>
  <c r="D214" i="13"/>
  <c r="E214" i="13"/>
  <c r="F214" i="13"/>
  <c r="G214" i="13"/>
  <c r="H214" i="13"/>
  <c r="I214" i="13"/>
  <c r="J214" i="13"/>
  <c r="K214" i="13"/>
  <c r="L214" i="13"/>
  <c r="M214" i="13"/>
  <c r="B215" i="13"/>
  <c r="C215" i="13"/>
  <c r="D215" i="13"/>
  <c r="E215" i="13"/>
  <c r="F215" i="13"/>
  <c r="G215" i="13"/>
  <c r="H215" i="13"/>
  <c r="I215" i="13"/>
  <c r="J215" i="13"/>
  <c r="K215" i="13"/>
  <c r="L215" i="13"/>
  <c r="M215" i="13"/>
  <c r="B216" i="13"/>
  <c r="C216" i="13"/>
  <c r="D216" i="13"/>
  <c r="E216" i="13"/>
  <c r="F216" i="13"/>
  <c r="G216" i="13"/>
  <c r="H216" i="13"/>
  <c r="I216" i="13"/>
  <c r="J216" i="13"/>
  <c r="K216" i="13"/>
  <c r="L216" i="13"/>
  <c r="M216" i="13"/>
  <c r="B217" i="13"/>
  <c r="C217" i="13"/>
  <c r="D217" i="13"/>
  <c r="E217" i="13"/>
  <c r="F217" i="13"/>
  <c r="G217" i="13"/>
  <c r="H217" i="13"/>
  <c r="I217" i="13"/>
  <c r="J217" i="13"/>
  <c r="K217" i="13"/>
  <c r="L217" i="13"/>
  <c r="M217" i="13"/>
  <c r="B218" i="13"/>
  <c r="C218" i="13"/>
  <c r="D218" i="13"/>
  <c r="E218" i="13"/>
  <c r="F218" i="13"/>
  <c r="G218" i="13"/>
  <c r="H218" i="13"/>
  <c r="I218" i="13"/>
  <c r="J218" i="13"/>
  <c r="K218" i="13"/>
  <c r="L218" i="13"/>
  <c r="M218" i="13"/>
  <c r="B219" i="13"/>
  <c r="C219" i="13"/>
  <c r="D219" i="13"/>
  <c r="E219" i="13"/>
  <c r="F219" i="13"/>
  <c r="G219" i="13"/>
  <c r="H219" i="13"/>
  <c r="I219" i="13"/>
  <c r="J219" i="13"/>
  <c r="K219" i="13"/>
  <c r="L219" i="13"/>
  <c r="M219" i="13"/>
  <c r="B220" i="13"/>
  <c r="C220" i="13"/>
  <c r="D220" i="13"/>
  <c r="E220" i="13"/>
  <c r="F220" i="13"/>
  <c r="G220" i="13"/>
  <c r="H220" i="13"/>
  <c r="I220" i="13"/>
  <c r="J220" i="13"/>
  <c r="K220" i="13"/>
  <c r="L220" i="13"/>
  <c r="M220" i="13"/>
  <c r="B221" i="13"/>
  <c r="C221" i="13"/>
  <c r="D221" i="13"/>
  <c r="E221" i="13"/>
  <c r="F221" i="13"/>
  <c r="G221" i="13"/>
  <c r="H221" i="13"/>
  <c r="I221" i="13"/>
  <c r="J221" i="13"/>
  <c r="K221" i="13"/>
  <c r="L221" i="13"/>
  <c r="M221" i="13"/>
  <c r="B222" i="13"/>
  <c r="C222" i="13"/>
  <c r="D222" i="13"/>
  <c r="E222" i="13"/>
  <c r="F222" i="13"/>
  <c r="G222" i="13"/>
  <c r="H222" i="13"/>
  <c r="I222" i="13"/>
  <c r="J222" i="13"/>
  <c r="K222" i="13"/>
  <c r="L222" i="13"/>
  <c r="M222" i="13"/>
  <c r="B223" i="13"/>
  <c r="C223" i="13"/>
  <c r="D223" i="13"/>
  <c r="E223" i="13"/>
  <c r="F223" i="13"/>
  <c r="G223" i="13"/>
  <c r="H223" i="13"/>
  <c r="I223" i="13"/>
  <c r="J223" i="13"/>
  <c r="K223" i="13"/>
  <c r="L223" i="13"/>
  <c r="M223" i="13"/>
  <c r="B224" i="13"/>
  <c r="C224" i="13"/>
  <c r="D224" i="13"/>
  <c r="E224" i="13"/>
  <c r="F224" i="13"/>
  <c r="G224" i="13"/>
  <c r="H224" i="13"/>
  <c r="I224" i="13"/>
  <c r="J224" i="13"/>
  <c r="K224" i="13"/>
  <c r="L224" i="13"/>
  <c r="M224" i="13"/>
  <c r="B225" i="13"/>
  <c r="C225" i="13"/>
  <c r="D225" i="13"/>
  <c r="E225" i="13"/>
  <c r="F225" i="13"/>
  <c r="G225" i="13"/>
  <c r="H225" i="13"/>
  <c r="I225" i="13"/>
  <c r="J225" i="13"/>
  <c r="K225" i="13"/>
  <c r="L225" i="13"/>
  <c r="M225" i="13"/>
  <c r="B226" i="13"/>
  <c r="C226" i="13"/>
  <c r="D226" i="13"/>
  <c r="E226" i="13"/>
  <c r="F226" i="13"/>
  <c r="G226" i="13"/>
  <c r="H226" i="13"/>
  <c r="I226" i="13"/>
  <c r="J226" i="13"/>
  <c r="K226" i="13"/>
  <c r="L226" i="13"/>
  <c r="M226" i="13"/>
  <c r="B227" i="13"/>
  <c r="C227" i="13"/>
  <c r="D227" i="13"/>
  <c r="E227" i="13"/>
  <c r="F227" i="13"/>
  <c r="G227" i="13"/>
  <c r="H227" i="13"/>
  <c r="I227" i="13"/>
  <c r="J227" i="13"/>
  <c r="K227" i="13"/>
  <c r="L227" i="13"/>
  <c r="M227" i="13"/>
  <c r="B228" i="13"/>
  <c r="C228" i="13"/>
  <c r="D228" i="13"/>
  <c r="E228" i="13"/>
  <c r="F228" i="13"/>
  <c r="G228" i="13"/>
  <c r="H228" i="13"/>
  <c r="I228" i="13"/>
  <c r="J228" i="13"/>
  <c r="K228" i="13"/>
  <c r="L228" i="13"/>
  <c r="M228" i="13"/>
  <c r="B229" i="13"/>
  <c r="C229" i="13"/>
  <c r="D229" i="13"/>
  <c r="E229" i="13"/>
  <c r="F229" i="13"/>
  <c r="G229" i="13"/>
  <c r="H229" i="13"/>
  <c r="I229" i="13"/>
  <c r="J229" i="13"/>
  <c r="K229" i="13"/>
  <c r="L229" i="13"/>
  <c r="M229" i="13"/>
  <c r="B230" i="13"/>
  <c r="C230" i="13"/>
  <c r="D230" i="13"/>
  <c r="E230" i="13"/>
  <c r="F230" i="13"/>
  <c r="G230" i="13"/>
  <c r="H230" i="13"/>
  <c r="I230" i="13"/>
  <c r="J230" i="13"/>
  <c r="K230" i="13"/>
  <c r="L230" i="13"/>
  <c r="M230" i="13"/>
  <c r="B231" i="13"/>
  <c r="C231" i="13"/>
  <c r="D231" i="13"/>
  <c r="E231" i="13"/>
  <c r="F231" i="13"/>
  <c r="G231" i="13"/>
  <c r="H231" i="13"/>
  <c r="I231" i="13"/>
  <c r="J231" i="13"/>
  <c r="K231" i="13"/>
  <c r="L231" i="13"/>
  <c r="M231" i="13"/>
  <c r="B232" i="13"/>
  <c r="C232" i="13"/>
  <c r="D232" i="13"/>
  <c r="E232" i="13"/>
  <c r="F232" i="13"/>
  <c r="G232" i="13"/>
  <c r="H232" i="13"/>
  <c r="I232" i="13"/>
  <c r="J232" i="13"/>
  <c r="K232" i="13"/>
  <c r="L232" i="13"/>
  <c r="M232" i="13"/>
  <c r="B233" i="13"/>
  <c r="C233" i="13"/>
  <c r="D233" i="13"/>
  <c r="E233" i="13"/>
  <c r="F233" i="13"/>
  <c r="G233" i="13"/>
  <c r="H233" i="13"/>
  <c r="I233" i="13"/>
  <c r="J233" i="13"/>
  <c r="K233" i="13"/>
  <c r="L233" i="13"/>
  <c r="M233" i="13"/>
  <c r="B234" i="13"/>
  <c r="C234" i="13"/>
  <c r="D234" i="13"/>
  <c r="E234" i="13"/>
  <c r="F234" i="13"/>
  <c r="G234" i="13"/>
  <c r="H234" i="13"/>
  <c r="I234" i="13"/>
  <c r="J234" i="13"/>
  <c r="K234" i="13"/>
  <c r="L234" i="13"/>
  <c r="M234" i="13"/>
  <c r="B235" i="13"/>
  <c r="C235" i="13"/>
  <c r="D235" i="13"/>
  <c r="E235" i="13"/>
  <c r="F235" i="13"/>
  <c r="G235" i="13"/>
  <c r="H235" i="13"/>
  <c r="I235" i="13"/>
  <c r="J235" i="13"/>
  <c r="K235" i="13"/>
  <c r="L235" i="13"/>
  <c r="M235" i="13"/>
  <c r="B236" i="13"/>
  <c r="C236" i="13"/>
  <c r="D236" i="13"/>
  <c r="E236" i="13"/>
  <c r="F236" i="13"/>
  <c r="G236" i="13"/>
  <c r="H236" i="13"/>
  <c r="I236" i="13"/>
  <c r="J236" i="13"/>
  <c r="K236" i="13"/>
  <c r="L236" i="13"/>
  <c r="M236" i="13"/>
  <c r="B237" i="13"/>
  <c r="C237" i="13"/>
  <c r="D237" i="13"/>
  <c r="E237" i="13"/>
  <c r="F237" i="13"/>
  <c r="G237" i="13"/>
  <c r="H237" i="13"/>
  <c r="I237" i="13"/>
  <c r="J237" i="13"/>
  <c r="K237" i="13"/>
  <c r="L237" i="13"/>
  <c r="M237" i="13"/>
  <c r="B238" i="13"/>
  <c r="C238" i="13"/>
  <c r="D238" i="13"/>
  <c r="E238" i="13"/>
  <c r="F238" i="13"/>
  <c r="G238" i="13"/>
  <c r="H238" i="13"/>
  <c r="I238" i="13"/>
  <c r="J238" i="13"/>
  <c r="K238" i="13"/>
  <c r="L238" i="13"/>
  <c r="M238" i="13"/>
  <c r="B239" i="13"/>
  <c r="C239" i="13"/>
  <c r="D239" i="13"/>
  <c r="E239" i="13"/>
  <c r="F239" i="13"/>
  <c r="G239" i="13"/>
  <c r="H239" i="13"/>
  <c r="I239" i="13"/>
  <c r="J239" i="13"/>
  <c r="K239" i="13"/>
  <c r="L239" i="13"/>
  <c r="M239" i="13"/>
  <c r="B240" i="13"/>
  <c r="C240" i="13"/>
  <c r="D240" i="13"/>
  <c r="E240" i="13"/>
  <c r="F240" i="13"/>
  <c r="G240" i="13"/>
  <c r="H240" i="13"/>
  <c r="I240" i="13"/>
  <c r="J240" i="13"/>
  <c r="K240" i="13"/>
  <c r="L240" i="13"/>
  <c r="M240" i="13"/>
  <c r="B241" i="13"/>
  <c r="C241" i="13"/>
  <c r="D241" i="13"/>
  <c r="E241" i="13"/>
  <c r="F241" i="13"/>
  <c r="G241" i="13"/>
  <c r="H241" i="13"/>
  <c r="I241" i="13"/>
  <c r="J241" i="13"/>
  <c r="K241" i="13"/>
  <c r="L241" i="13"/>
  <c r="M241" i="13"/>
  <c r="B242" i="13"/>
  <c r="C242" i="13"/>
  <c r="D242" i="13"/>
  <c r="E242" i="13"/>
  <c r="F242" i="13"/>
  <c r="G242" i="13"/>
  <c r="H242" i="13"/>
  <c r="I242" i="13"/>
  <c r="J242" i="13"/>
  <c r="K242" i="13"/>
  <c r="L242" i="13"/>
  <c r="M242" i="13"/>
  <c r="B243" i="13"/>
  <c r="C243" i="13"/>
  <c r="D243" i="13"/>
  <c r="E243" i="13"/>
  <c r="F243" i="13"/>
  <c r="G243" i="13"/>
  <c r="H243" i="13"/>
  <c r="I243" i="13"/>
  <c r="J243" i="13"/>
  <c r="K243" i="13"/>
  <c r="L243" i="13"/>
  <c r="M243" i="13"/>
  <c r="B244" i="13"/>
  <c r="C244" i="13"/>
  <c r="D244" i="13"/>
  <c r="E244" i="13"/>
  <c r="F244" i="13"/>
  <c r="G244" i="13"/>
  <c r="H244" i="13"/>
  <c r="I244" i="13"/>
  <c r="J244" i="13"/>
  <c r="K244" i="13"/>
  <c r="L244" i="13"/>
  <c r="M244" i="13"/>
  <c r="B245" i="13"/>
  <c r="C245" i="13"/>
  <c r="D245" i="13"/>
  <c r="E245" i="13"/>
  <c r="F245" i="13"/>
  <c r="G245" i="13"/>
  <c r="H245" i="13"/>
  <c r="I245" i="13"/>
  <c r="J245" i="13"/>
  <c r="K245" i="13"/>
  <c r="L245" i="13"/>
  <c r="M245" i="13"/>
  <c r="B246" i="13"/>
  <c r="C246" i="13"/>
  <c r="D246" i="13"/>
  <c r="E246" i="13"/>
  <c r="F246" i="13"/>
  <c r="G246" i="13"/>
  <c r="H246" i="13"/>
  <c r="I246" i="13"/>
  <c r="J246" i="13"/>
  <c r="K246" i="13"/>
  <c r="L246" i="13"/>
  <c r="M246" i="13"/>
  <c r="B247" i="13"/>
  <c r="C247" i="13"/>
  <c r="D247" i="13"/>
  <c r="E247" i="13"/>
  <c r="F247" i="13"/>
  <c r="G247" i="13"/>
  <c r="H247" i="13"/>
  <c r="I247" i="13"/>
  <c r="J247" i="13"/>
  <c r="K247" i="13"/>
  <c r="L247" i="13"/>
  <c r="M247" i="13"/>
  <c r="B248" i="13"/>
  <c r="C248" i="13"/>
  <c r="D248" i="13"/>
  <c r="E248" i="13"/>
  <c r="F248" i="13"/>
  <c r="G248" i="13"/>
  <c r="H248" i="13"/>
  <c r="I248" i="13"/>
  <c r="J248" i="13"/>
  <c r="K248" i="13"/>
  <c r="L248" i="13"/>
  <c r="M248" i="13"/>
  <c r="B249" i="13"/>
  <c r="C249" i="13"/>
  <c r="D249" i="13"/>
  <c r="E249" i="13"/>
  <c r="F249" i="13"/>
  <c r="G249" i="13"/>
  <c r="H249" i="13"/>
  <c r="I249" i="13"/>
  <c r="J249" i="13"/>
  <c r="K249" i="13"/>
  <c r="L249" i="13"/>
  <c r="M249" i="13"/>
  <c r="B250" i="13"/>
  <c r="C250" i="13"/>
  <c r="D250" i="13"/>
  <c r="E250" i="13"/>
  <c r="F250" i="13"/>
  <c r="G250" i="13"/>
  <c r="H250" i="13"/>
  <c r="I250" i="13"/>
  <c r="J250" i="13"/>
  <c r="K250" i="13"/>
  <c r="L250" i="13"/>
  <c r="M250" i="13"/>
  <c r="B251" i="13"/>
  <c r="C251" i="13"/>
  <c r="D251" i="13"/>
  <c r="E251" i="13"/>
  <c r="F251" i="13"/>
  <c r="G251" i="13"/>
  <c r="H251" i="13"/>
  <c r="I251" i="13"/>
  <c r="J251" i="13"/>
  <c r="K251" i="13"/>
  <c r="L251" i="13"/>
  <c r="M251" i="13"/>
  <c r="B252" i="13"/>
  <c r="C252" i="13"/>
  <c r="D252" i="13"/>
  <c r="E252" i="13"/>
  <c r="F252" i="13"/>
  <c r="G252" i="13"/>
  <c r="H252" i="13"/>
  <c r="I252" i="13"/>
  <c r="J252" i="13"/>
  <c r="K252" i="13"/>
  <c r="L252" i="13"/>
  <c r="M252" i="13"/>
  <c r="B253" i="13"/>
  <c r="C253" i="13"/>
  <c r="D253" i="13"/>
  <c r="E253" i="13"/>
  <c r="F253" i="13"/>
  <c r="G253" i="13"/>
  <c r="H253" i="13"/>
  <c r="I253" i="13"/>
  <c r="J253" i="13"/>
  <c r="K253" i="13"/>
  <c r="L253" i="13"/>
  <c r="M253" i="13"/>
  <c r="B254" i="13"/>
  <c r="C254" i="13"/>
  <c r="D254" i="13"/>
  <c r="E254" i="13"/>
  <c r="F254" i="13"/>
  <c r="G254" i="13"/>
  <c r="H254" i="13"/>
  <c r="I254" i="13"/>
  <c r="J254" i="13"/>
  <c r="K254" i="13"/>
  <c r="L254" i="13"/>
  <c r="M254" i="13"/>
  <c r="B255" i="13"/>
  <c r="C255" i="13"/>
  <c r="D255" i="13"/>
  <c r="E255" i="13"/>
  <c r="F255" i="13"/>
  <c r="G255" i="13"/>
  <c r="H255" i="13"/>
  <c r="I255" i="13"/>
  <c r="J255" i="13"/>
  <c r="K255" i="13"/>
  <c r="L255" i="13"/>
  <c r="M255" i="13"/>
  <c r="B256" i="13"/>
  <c r="C256" i="13"/>
  <c r="D256" i="13"/>
  <c r="E256" i="13"/>
  <c r="F256" i="13"/>
  <c r="G256" i="13"/>
  <c r="H256" i="13"/>
  <c r="I256" i="13"/>
  <c r="J256" i="13"/>
  <c r="K256" i="13"/>
  <c r="L256" i="13"/>
  <c r="M256" i="13"/>
  <c r="B257" i="13"/>
  <c r="C257" i="13"/>
  <c r="D257" i="13"/>
  <c r="E257" i="13"/>
  <c r="F257" i="13"/>
  <c r="G257" i="13"/>
  <c r="H257" i="13"/>
  <c r="I257" i="13"/>
  <c r="J257" i="13"/>
  <c r="K257" i="13"/>
  <c r="L257" i="13"/>
  <c r="M257" i="13"/>
  <c r="B258" i="13"/>
  <c r="C258" i="13"/>
  <c r="D258" i="13"/>
  <c r="E258" i="13"/>
  <c r="F258" i="13"/>
  <c r="G258" i="13"/>
  <c r="H258" i="13"/>
  <c r="I258" i="13"/>
  <c r="J258" i="13"/>
  <c r="K258" i="13"/>
  <c r="L258" i="13"/>
  <c r="M258" i="13"/>
  <c r="B259" i="13"/>
  <c r="C259" i="13"/>
  <c r="D259" i="13"/>
  <c r="E259" i="13"/>
  <c r="F259" i="13"/>
  <c r="G259" i="13"/>
  <c r="H259" i="13"/>
  <c r="I259" i="13"/>
  <c r="J259" i="13"/>
  <c r="K259" i="13"/>
  <c r="L259" i="13"/>
  <c r="M259" i="13"/>
  <c r="B260" i="13"/>
  <c r="C260" i="13"/>
  <c r="D260" i="13"/>
  <c r="E260" i="13"/>
  <c r="F260" i="13"/>
  <c r="G260" i="13"/>
  <c r="H260" i="13"/>
  <c r="I260" i="13"/>
  <c r="J260" i="13"/>
  <c r="K260" i="13"/>
  <c r="L260" i="13"/>
  <c r="M260" i="13"/>
  <c r="B261" i="13"/>
  <c r="C261" i="13"/>
  <c r="D261" i="13"/>
  <c r="E261" i="13"/>
  <c r="F261" i="13"/>
  <c r="G261" i="13"/>
  <c r="H261" i="13"/>
  <c r="I261" i="13"/>
  <c r="J261" i="13"/>
  <c r="K261" i="13"/>
  <c r="L261" i="13"/>
  <c r="M261" i="13"/>
  <c r="B262" i="13"/>
  <c r="C262" i="13"/>
  <c r="D262" i="13"/>
  <c r="E262" i="13"/>
  <c r="F262" i="13"/>
  <c r="G262" i="13"/>
  <c r="H262" i="13"/>
  <c r="I262" i="13"/>
  <c r="J262" i="13"/>
  <c r="K262" i="13"/>
  <c r="L262" i="13"/>
  <c r="M262" i="13"/>
  <c r="B263" i="13"/>
  <c r="C263" i="13"/>
  <c r="D263" i="13"/>
  <c r="E263" i="13"/>
  <c r="F263" i="13"/>
  <c r="G263" i="13"/>
  <c r="H263" i="13"/>
  <c r="I263" i="13"/>
  <c r="J263" i="13"/>
  <c r="K263" i="13"/>
  <c r="L263" i="13"/>
  <c r="M263" i="13"/>
  <c r="B264" i="13"/>
  <c r="C264" i="13"/>
  <c r="D264" i="13"/>
  <c r="E264" i="13"/>
  <c r="F264" i="13"/>
  <c r="G264" i="13"/>
  <c r="H264" i="13"/>
  <c r="I264" i="13"/>
  <c r="J264" i="13"/>
  <c r="K264" i="13"/>
  <c r="L264" i="13"/>
  <c r="M264" i="13"/>
  <c r="B265" i="13"/>
  <c r="C265" i="13"/>
  <c r="D265" i="13"/>
  <c r="E265" i="13"/>
  <c r="F265" i="13"/>
  <c r="G265" i="13"/>
  <c r="H265" i="13"/>
  <c r="I265" i="13"/>
  <c r="J265" i="13"/>
  <c r="K265" i="13"/>
  <c r="L265" i="13"/>
  <c r="M265" i="13"/>
  <c r="B266" i="13"/>
  <c r="C266" i="13"/>
  <c r="D266" i="13"/>
  <c r="E266" i="13"/>
  <c r="F266" i="13"/>
  <c r="G266" i="13"/>
  <c r="H266" i="13"/>
  <c r="I266" i="13"/>
  <c r="J266" i="13"/>
  <c r="K266" i="13"/>
  <c r="L266" i="13"/>
  <c r="M266" i="13"/>
  <c r="B267" i="13"/>
  <c r="C267" i="13"/>
  <c r="D267" i="13"/>
  <c r="E267" i="13"/>
  <c r="F267" i="13"/>
  <c r="G267" i="13"/>
  <c r="H267" i="13"/>
  <c r="I267" i="13"/>
  <c r="J267" i="13"/>
  <c r="K267" i="13"/>
  <c r="L267" i="13"/>
  <c r="M267" i="13"/>
  <c r="B268" i="13"/>
  <c r="C268" i="13"/>
  <c r="D268" i="13"/>
  <c r="E268" i="13"/>
  <c r="F268" i="13"/>
  <c r="G268" i="13"/>
  <c r="H268" i="13"/>
  <c r="I268" i="13"/>
  <c r="J268" i="13"/>
  <c r="K268" i="13"/>
  <c r="L268" i="13"/>
  <c r="M268" i="13"/>
  <c r="B269" i="13"/>
  <c r="C269" i="13"/>
  <c r="D269" i="13"/>
  <c r="E269" i="13"/>
  <c r="F269" i="13"/>
  <c r="G269" i="13"/>
  <c r="H269" i="13"/>
  <c r="I269" i="13"/>
  <c r="J269" i="13"/>
  <c r="K269" i="13"/>
  <c r="L269" i="13"/>
  <c r="M269" i="13"/>
  <c r="B270" i="13"/>
  <c r="C270" i="13"/>
  <c r="D270" i="13"/>
  <c r="E270" i="13"/>
  <c r="F270" i="13"/>
  <c r="G270" i="13"/>
  <c r="H270" i="13"/>
  <c r="I270" i="13"/>
  <c r="J270" i="13"/>
  <c r="K270" i="13"/>
  <c r="L270" i="13"/>
  <c r="M270" i="13"/>
  <c r="B271" i="13"/>
  <c r="C271" i="13"/>
  <c r="D271" i="13"/>
  <c r="E271" i="13"/>
  <c r="F271" i="13"/>
  <c r="G271" i="13"/>
  <c r="H271" i="13"/>
  <c r="I271" i="13"/>
  <c r="J271" i="13"/>
  <c r="K271" i="13"/>
  <c r="L271" i="13"/>
  <c r="M271" i="13"/>
  <c r="B272" i="13"/>
  <c r="C272" i="13"/>
  <c r="D272" i="13"/>
  <c r="E272" i="13"/>
  <c r="F272" i="13"/>
  <c r="G272" i="13"/>
  <c r="H272" i="13"/>
  <c r="I272" i="13"/>
  <c r="J272" i="13"/>
  <c r="K272" i="13"/>
  <c r="L272" i="13"/>
  <c r="M272" i="13"/>
  <c r="B273" i="13"/>
  <c r="C273" i="13"/>
  <c r="D273" i="13"/>
  <c r="E273" i="13"/>
  <c r="F273" i="13"/>
  <c r="G273" i="13"/>
  <c r="H273" i="13"/>
  <c r="I273" i="13"/>
  <c r="J273" i="13"/>
  <c r="K273" i="13"/>
  <c r="L273" i="13"/>
  <c r="M273" i="13"/>
  <c r="B274" i="13"/>
  <c r="C274" i="13"/>
  <c r="D274" i="13"/>
  <c r="E274" i="13"/>
  <c r="F274" i="13"/>
  <c r="G274" i="13"/>
  <c r="H274" i="13"/>
  <c r="I274" i="13"/>
  <c r="J274" i="13"/>
  <c r="K274" i="13"/>
  <c r="L274" i="13"/>
  <c r="M274" i="13"/>
  <c r="B275" i="13"/>
  <c r="C275" i="13"/>
  <c r="D275" i="13"/>
  <c r="E275" i="13"/>
  <c r="F275" i="13"/>
  <c r="G275" i="13"/>
  <c r="H275" i="13"/>
  <c r="I275" i="13"/>
  <c r="J275" i="13"/>
  <c r="K275" i="13"/>
  <c r="L275" i="13"/>
  <c r="M275" i="13"/>
  <c r="B276" i="13"/>
  <c r="C276" i="13"/>
  <c r="D276" i="13"/>
  <c r="E276" i="13"/>
  <c r="F276" i="13"/>
  <c r="G276" i="13"/>
  <c r="H276" i="13"/>
  <c r="I276" i="13"/>
  <c r="J276" i="13"/>
  <c r="K276" i="13"/>
  <c r="L276" i="13"/>
  <c r="M276" i="13"/>
  <c r="B277" i="13"/>
  <c r="C277" i="13"/>
  <c r="D277" i="13"/>
  <c r="E277" i="13"/>
  <c r="F277" i="13"/>
  <c r="G277" i="13"/>
  <c r="H277" i="13"/>
  <c r="I277" i="13"/>
  <c r="J277" i="13"/>
  <c r="K277" i="13"/>
  <c r="L277" i="13"/>
  <c r="M277" i="13"/>
  <c r="B278" i="13"/>
  <c r="C278" i="13"/>
  <c r="D278" i="13"/>
  <c r="E278" i="13"/>
  <c r="F278" i="13"/>
  <c r="G278" i="13"/>
  <c r="H278" i="13"/>
  <c r="I278" i="13"/>
  <c r="J278" i="13"/>
  <c r="K278" i="13"/>
  <c r="L278" i="13"/>
  <c r="M278" i="13"/>
  <c r="B279" i="13"/>
  <c r="C279" i="13"/>
  <c r="D279" i="13"/>
  <c r="E279" i="13"/>
  <c r="F279" i="13"/>
  <c r="G279" i="13"/>
  <c r="H279" i="13"/>
  <c r="I279" i="13"/>
  <c r="J279" i="13"/>
  <c r="K279" i="13"/>
  <c r="L279" i="13"/>
  <c r="M279" i="13"/>
  <c r="B280" i="13"/>
  <c r="C280" i="13"/>
  <c r="D280" i="13"/>
  <c r="E280" i="13"/>
  <c r="F280" i="13"/>
  <c r="G280" i="13"/>
  <c r="H280" i="13"/>
  <c r="I280" i="13"/>
  <c r="J280" i="13"/>
  <c r="K280" i="13"/>
  <c r="L280" i="13"/>
  <c r="M280" i="13"/>
  <c r="B281" i="13"/>
  <c r="C281" i="13"/>
  <c r="D281" i="13"/>
  <c r="E281" i="13"/>
  <c r="F281" i="13"/>
  <c r="G281" i="13"/>
  <c r="H281" i="13"/>
  <c r="I281" i="13"/>
  <c r="J281" i="13"/>
  <c r="K281" i="13"/>
  <c r="L281" i="13"/>
  <c r="M281" i="13"/>
  <c r="B282" i="13"/>
  <c r="C282" i="13"/>
  <c r="D282" i="13"/>
  <c r="E282" i="13"/>
  <c r="F282" i="13"/>
  <c r="G282" i="13"/>
  <c r="H282" i="13"/>
  <c r="I282" i="13"/>
  <c r="J282" i="13"/>
  <c r="K282" i="13"/>
  <c r="L282" i="13"/>
  <c r="M282" i="13"/>
  <c r="B283" i="13"/>
  <c r="C283" i="13"/>
  <c r="D283" i="13"/>
  <c r="E283" i="13"/>
  <c r="F283" i="13"/>
  <c r="G283" i="13"/>
  <c r="H283" i="13"/>
  <c r="I283" i="13"/>
  <c r="J283" i="13"/>
  <c r="K283" i="13"/>
  <c r="L283" i="13"/>
  <c r="M283" i="13"/>
  <c r="B284" i="13"/>
  <c r="C284" i="13"/>
  <c r="D284" i="13"/>
  <c r="E284" i="13"/>
  <c r="F284" i="13"/>
  <c r="G284" i="13"/>
  <c r="H284" i="13"/>
  <c r="I284" i="13"/>
  <c r="J284" i="13"/>
  <c r="K284" i="13"/>
  <c r="L284" i="13"/>
  <c r="M284" i="13"/>
  <c r="B285" i="13"/>
  <c r="C285" i="13"/>
  <c r="D285" i="13"/>
  <c r="E285" i="13"/>
  <c r="F285" i="13"/>
  <c r="G285" i="13"/>
  <c r="H285" i="13"/>
  <c r="I285" i="13"/>
  <c r="J285" i="13"/>
  <c r="K285" i="13"/>
  <c r="L285" i="13"/>
  <c r="M285" i="13"/>
  <c r="B286" i="13"/>
  <c r="C286" i="13"/>
  <c r="D286" i="13"/>
  <c r="E286" i="13"/>
  <c r="F286" i="13"/>
  <c r="G286" i="13"/>
  <c r="H286" i="13"/>
  <c r="I286" i="13"/>
  <c r="J286" i="13"/>
  <c r="K286" i="13"/>
  <c r="L286" i="13"/>
  <c r="M286" i="13"/>
  <c r="B287" i="13"/>
  <c r="C287" i="13"/>
  <c r="D287" i="13"/>
  <c r="E287" i="13"/>
  <c r="F287" i="13"/>
  <c r="G287" i="13"/>
  <c r="H287" i="13"/>
  <c r="I287" i="13"/>
  <c r="J287" i="13"/>
  <c r="K287" i="13"/>
  <c r="L287" i="13"/>
  <c r="M287" i="13"/>
  <c r="B288" i="13"/>
  <c r="C288" i="13"/>
  <c r="D288" i="13"/>
  <c r="E288" i="13"/>
  <c r="F288" i="13"/>
  <c r="G288" i="13"/>
  <c r="H288" i="13"/>
  <c r="I288" i="13"/>
  <c r="J288" i="13"/>
  <c r="K288" i="13"/>
  <c r="L288" i="13"/>
  <c r="M288" i="13"/>
  <c r="B289" i="13"/>
  <c r="C289" i="13"/>
  <c r="D289" i="13"/>
  <c r="E289" i="13"/>
  <c r="F289" i="13"/>
  <c r="G289" i="13"/>
  <c r="H289" i="13"/>
  <c r="I289" i="13"/>
  <c r="J289" i="13"/>
  <c r="K289" i="13"/>
  <c r="L289" i="13"/>
  <c r="M289" i="13"/>
  <c r="B290" i="13"/>
  <c r="C290" i="13"/>
  <c r="D290" i="13"/>
  <c r="E290" i="13"/>
  <c r="F290" i="13"/>
  <c r="G290" i="13"/>
  <c r="H290" i="13"/>
  <c r="I290" i="13"/>
  <c r="J290" i="13"/>
  <c r="K290" i="13"/>
  <c r="L290" i="13"/>
  <c r="M290" i="13"/>
  <c r="B291" i="13"/>
  <c r="C291" i="13"/>
  <c r="D291" i="13"/>
  <c r="E291" i="13"/>
  <c r="F291" i="13"/>
  <c r="G291" i="13"/>
  <c r="H291" i="13"/>
  <c r="I291" i="13"/>
  <c r="J291" i="13"/>
  <c r="K291" i="13"/>
  <c r="L291" i="13"/>
  <c r="M291" i="13"/>
  <c r="B292" i="13"/>
  <c r="C292" i="13"/>
  <c r="D292" i="13"/>
  <c r="E292" i="13"/>
  <c r="F292" i="13"/>
  <c r="G292" i="13"/>
  <c r="H292" i="13"/>
  <c r="I292" i="13"/>
  <c r="J292" i="13"/>
  <c r="K292" i="13"/>
  <c r="L292" i="13"/>
  <c r="M292" i="13"/>
  <c r="B293" i="13"/>
  <c r="C293" i="13"/>
  <c r="D293" i="13"/>
  <c r="E293" i="13"/>
  <c r="F293" i="13"/>
  <c r="G293" i="13"/>
  <c r="H293" i="13"/>
  <c r="I293" i="13"/>
  <c r="J293" i="13"/>
  <c r="K293" i="13"/>
  <c r="L293" i="13"/>
  <c r="M293" i="13"/>
  <c r="B294" i="13"/>
  <c r="C294" i="13"/>
  <c r="D294" i="13"/>
  <c r="E294" i="13"/>
  <c r="F294" i="13"/>
  <c r="G294" i="13"/>
  <c r="H294" i="13"/>
  <c r="I294" i="13"/>
  <c r="J294" i="13"/>
  <c r="K294" i="13"/>
  <c r="L294" i="13"/>
  <c r="M294" i="13"/>
  <c r="B295" i="13"/>
  <c r="C295" i="13"/>
  <c r="D295" i="13"/>
  <c r="E295" i="13"/>
  <c r="F295" i="13"/>
  <c r="G295" i="13"/>
  <c r="H295" i="13"/>
  <c r="I295" i="13"/>
  <c r="J295" i="13"/>
  <c r="K295" i="13"/>
  <c r="L295" i="13"/>
  <c r="M295" i="13"/>
  <c r="B296" i="13"/>
  <c r="C296" i="13"/>
  <c r="D296" i="13"/>
  <c r="E296" i="13"/>
  <c r="F296" i="13"/>
  <c r="G296" i="13"/>
  <c r="H296" i="13"/>
  <c r="I296" i="13"/>
  <c r="J296" i="13"/>
  <c r="K296" i="13"/>
  <c r="L296" i="13"/>
  <c r="M296" i="13"/>
  <c r="B297" i="13"/>
  <c r="C297" i="13"/>
  <c r="D297" i="13"/>
  <c r="E297" i="13"/>
  <c r="F297" i="13"/>
  <c r="G297" i="13"/>
  <c r="H297" i="13"/>
  <c r="I297" i="13"/>
  <c r="J297" i="13"/>
  <c r="K297" i="13"/>
  <c r="L297" i="13"/>
  <c r="M297" i="13"/>
  <c r="B298" i="13"/>
  <c r="C298" i="13"/>
  <c r="D298" i="13"/>
  <c r="E298" i="13"/>
  <c r="F298" i="13"/>
  <c r="G298" i="13"/>
  <c r="H298" i="13"/>
  <c r="I298" i="13"/>
  <c r="J298" i="13"/>
  <c r="K298" i="13"/>
  <c r="L298" i="13"/>
  <c r="M298" i="13"/>
  <c r="B299" i="13"/>
  <c r="C299" i="13"/>
  <c r="D299" i="13"/>
  <c r="E299" i="13"/>
  <c r="F299" i="13"/>
  <c r="G299" i="13"/>
  <c r="H299" i="13"/>
  <c r="I299" i="13"/>
  <c r="J299" i="13"/>
  <c r="K299" i="13"/>
  <c r="L299" i="13"/>
  <c r="M299" i="13"/>
  <c r="B300" i="13"/>
  <c r="C300" i="13"/>
  <c r="D300" i="13"/>
  <c r="E300" i="13"/>
  <c r="F300" i="13"/>
  <c r="G300" i="13"/>
  <c r="H300" i="13"/>
  <c r="I300" i="13"/>
  <c r="J300" i="13"/>
  <c r="K300" i="13"/>
  <c r="L300" i="13"/>
  <c r="M300" i="13"/>
  <c r="A5" i="13"/>
  <c r="A6" i="13"/>
  <c r="A7" i="13" s="1"/>
  <c r="A4" i="13"/>
  <c r="A2" i="2" s="1"/>
  <c r="A2" i="4"/>
  <c r="A2" i="3"/>
  <c r="A2" i="1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N13" i="12"/>
  <c r="H13" i="12"/>
  <c r="H12" i="12"/>
  <c r="H11" i="12"/>
  <c r="O10" i="12"/>
  <c r="H10" i="12"/>
  <c r="O9" i="12"/>
  <c r="H9" i="12"/>
  <c r="O8" i="12"/>
  <c r="H8" i="12"/>
  <c r="H7" i="12"/>
  <c r="H6" i="12"/>
  <c r="O5" i="12"/>
  <c r="H5" i="12"/>
  <c r="O4" i="12"/>
  <c r="H4" i="12"/>
  <c r="O3" i="12"/>
  <c r="H3" i="12"/>
  <c r="O2" i="12"/>
  <c r="G2" i="12" a="1"/>
  <c r="G2" i="12" s="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N13" i="11"/>
  <c r="H13" i="11"/>
  <c r="H12" i="11"/>
  <c r="H11" i="11"/>
  <c r="O10" i="11"/>
  <c r="H10" i="11"/>
  <c r="O9" i="11"/>
  <c r="H9" i="11"/>
  <c r="O8" i="11"/>
  <c r="H8" i="11"/>
  <c r="H7" i="11"/>
  <c r="H6" i="11"/>
  <c r="O5" i="11"/>
  <c r="H5" i="11"/>
  <c r="O4" i="11"/>
  <c r="H4" i="11"/>
  <c r="O3" i="11"/>
  <c r="H3" i="11"/>
  <c r="O2" i="11"/>
  <c r="G2" i="11" a="1"/>
  <c r="G2" i="11" s="1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N13" i="10"/>
  <c r="H13" i="10"/>
  <c r="H12" i="10"/>
  <c r="H11" i="10"/>
  <c r="O10" i="10"/>
  <c r="H10" i="10"/>
  <c r="O9" i="10"/>
  <c r="H9" i="10"/>
  <c r="O8" i="10"/>
  <c r="H8" i="10"/>
  <c r="H7" i="10"/>
  <c r="H6" i="10"/>
  <c r="O5" i="10"/>
  <c r="H5" i="10"/>
  <c r="O4" i="10"/>
  <c r="H4" i="10"/>
  <c r="O3" i="10"/>
  <c r="H3" i="10"/>
  <c r="O2" i="10"/>
  <c r="G2" i="10" a="1"/>
  <c r="G2" i="10" s="1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N13" i="9"/>
  <c r="H13" i="9"/>
  <c r="H12" i="9"/>
  <c r="H11" i="9"/>
  <c r="O10" i="9"/>
  <c r="H10" i="9"/>
  <c r="O9" i="9"/>
  <c r="E11" i="13" s="1"/>
  <c r="H9" i="9"/>
  <c r="O8" i="9"/>
  <c r="D11" i="13" s="1"/>
  <c r="H8" i="9"/>
  <c r="H7" i="9"/>
  <c r="H6" i="9"/>
  <c r="O5" i="9"/>
  <c r="H5" i="9"/>
  <c r="O4" i="9"/>
  <c r="H4" i="9"/>
  <c r="O3" i="9"/>
  <c r="H3" i="9"/>
  <c r="O2" i="9"/>
  <c r="G2" i="9" a="1"/>
  <c r="G2" i="9" s="1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N13" i="8"/>
  <c r="H13" i="8"/>
  <c r="H12" i="8"/>
  <c r="H11" i="8"/>
  <c r="O10" i="8"/>
  <c r="H10" i="8"/>
  <c r="O9" i="8"/>
  <c r="H9" i="8"/>
  <c r="O8" i="8"/>
  <c r="H8" i="8"/>
  <c r="H7" i="8"/>
  <c r="H6" i="8"/>
  <c r="O5" i="8"/>
  <c r="H5" i="8"/>
  <c r="O4" i="8"/>
  <c r="H4" i="8"/>
  <c r="O3" i="8"/>
  <c r="H3" i="8"/>
  <c r="O2" i="8"/>
  <c r="G2" i="8" a="1"/>
  <c r="G2" i="8" s="1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N13" i="7"/>
  <c r="H13" i="7"/>
  <c r="H12" i="7"/>
  <c r="H11" i="7"/>
  <c r="O10" i="7"/>
  <c r="H10" i="7"/>
  <c r="O9" i="7"/>
  <c r="H9" i="7"/>
  <c r="O8" i="7"/>
  <c r="H8" i="7"/>
  <c r="H7" i="7"/>
  <c r="H6" i="7"/>
  <c r="O5" i="7"/>
  <c r="H5" i="7"/>
  <c r="O4" i="7"/>
  <c r="H4" i="7"/>
  <c r="O3" i="7"/>
  <c r="H3" i="7"/>
  <c r="O2" i="7"/>
  <c r="G2" i="7" a="1"/>
  <c r="G2" i="7" s="1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N13" i="6"/>
  <c r="H13" i="6"/>
  <c r="H12" i="6"/>
  <c r="H11" i="6"/>
  <c r="O10" i="6"/>
  <c r="H10" i="6"/>
  <c r="O9" i="6"/>
  <c r="H9" i="6"/>
  <c r="O8" i="6"/>
  <c r="H8" i="6"/>
  <c r="H7" i="6"/>
  <c r="H6" i="6"/>
  <c r="O5" i="6"/>
  <c r="H5" i="6"/>
  <c r="O4" i="6"/>
  <c r="H4" i="6"/>
  <c r="O3" i="6"/>
  <c r="H3" i="6"/>
  <c r="O2" i="6"/>
  <c r="G2" i="6" a="1"/>
  <c r="G2" i="6" s="1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N13" i="5"/>
  <c r="H13" i="5"/>
  <c r="H12" i="5"/>
  <c r="H11" i="5"/>
  <c r="O10" i="5"/>
  <c r="H10" i="5"/>
  <c r="O9" i="5"/>
  <c r="H9" i="5"/>
  <c r="O8" i="5"/>
  <c r="H8" i="5"/>
  <c r="H7" i="5"/>
  <c r="H6" i="5"/>
  <c r="O5" i="5"/>
  <c r="H5" i="5"/>
  <c r="O4" i="5"/>
  <c r="H4" i="5"/>
  <c r="O3" i="5"/>
  <c r="H3" i="5"/>
  <c r="O2" i="5"/>
  <c r="G2" i="5" a="1"/>
  <c r="G2" i="5" s="1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N13" i="4"/>
  <c r="H13" i="4"/>
  <c r="H12" i="4"/>
  <c r="H11" i="4"/>
  <c r="O10" i="4"/>
  <c r="F6" i="13" s="1"/>
  <c r="H10" i="4"/>
  <c r="O9" i="4"/>
  <c r="H9" i="4"/>
  <c r="O8" i="4"/>
  <c r="H8" i="4"/>
  <c r="H7" i="4"/>
  <c r="H6" i="4"/>
  <c r="O5" i="4"/>
  <c r="I6" i="13" s="1"/>
  <c r="H5" i="4"/>
  <c r="O4" i="4"/>
  <c r="H4" i="4"/>
  <c r="O3" i="4"/>
  <c r="G6" i="13" s="1"/>
  <c r="H3" i="4"/>
  <c r="O2" i="4"/>
  <c r="G2" i="4" a="1"/>
  <c r="G2" i="4" s="1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N13" i="3"/>
  <c r="H13" i="3"/>
  <c r="H12" i="3"/>
  <c r="H11" i="3"/>
  <c r="O10" i="3"/>
  <c r="F5" i="13" s="1"/>
  <c r="H10" i="3"/>
  <c r="O9" i="3"/>
  <c r="H9" i="3"/>
  <c r="O8" i="3"/>
  <c r="H8" i="3"/>
  <c r="H7" i="3"/>
  <c r="H6" i="3"/>
  <c r="O5" i="3"/>
  <c r="H5" i="3"/>
  <c r="O4" i="3"/>
  <c r="H4" i="3"/>
  <c r="O3" i="3"/>
  <c r="H3" i="3"/>
  <c r="O2" i="3"/>
  <c r="G2" i="3" a="1"/>
  <c r="G2" i="3" s="1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N13" i="2"/>
  <c r="H13" i="2"/>
  <c r="H12" i="2"/>
  <c r="H11" i="2"/>
  <c r="O10" i="2"/>
  <c r="F4" i="13" s="1"/>
  <c r="H10" i="2"/>
  <c r="O9" i="2"/>
  <c r="H9" i="2"/>
  <c r="O8" i="2"/>
  <c r="H8" i="2"/>
  <c r="H7" i="2"/>
  <c r="H6" i="2"/>
  <c r="O5" i="2"/>
  <c r="H5" i="2"/>
  <c r="O4" i="2"/>
  <c r="H4" i="2"/>
  <c r="O3" i="2"/>
  <c r="G4" i="13" s="1"/>
  <c r="H3" i="2"/>
  <c r="O2" i="2"/>
  <c r="G2" i="2" a="1"/>
  <c r="G2" i="2" s="1"/>
  <c r="N13" i="1"/>
  <c r="O10" i="1"/>
  <c r="O9" i="1"/>
  <c r="O8" i="1"/>
  <c r="O5" i="1"/>
  <c r="O4" i="1"/>
  <c r="O3" i="1"/>
  <c r="O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" i="1" a="1"/>
  <c r="G2" i="1" s="1"/>
  <c r="B3" i="13"/>
  <c r="D3" i="13"/>
  <c r="E3" i="13"/>
  <c r="F3" i="13"/>
  <c r="B4" i="13"/>
  <c r="D4" i="13"/>
  <c r="E4" i="13"/>
  <c r="I4" i="13"/>
  <c r="B5" i="13"/>
  <c r="D5" i="13"/>
  <c r="E5" i="13"/>
  <c r="G5" i="13"/>
  <c r="I5" i="13"/>
  <c r="B6" i="13"/>
  <c r="D6" i="13"/>
  <c r="E6" i="13"/>
  <c r="B7" i="13"/>
  <c r="D7" i="13"/>
  <c r="E7" i="13"/>
  <c r="F7" i="13"/>
  <c r="G7" i="13"/>
  <c r="I7" i="13"/>
  <c r="B8" i="13"/>
  <c r="D8" i="13"/>
  <c r="E8" i="13"/>
  <c r="F8" i="13"/>
  <c r="G8" i="13"/>
  <c r="I8" i="13"/>
  <c r="B9" i="13"/>
  <c r="D9" i="13"/>
  <c r="E9" i="13"/>
  <c r="F9" i="13"/>
  <c r="G9" i="13"/>
  <c r="I9" i="13"/>
  <c r="B10" i="13"/>
  <c r="D10" i="13"/>
  <c r="E10" i="13"/>
  <c r="F10" i="13"/>
  <c r="G10" i="13"/>
  <c r="I10" i="13"/>
  <c r="B11" i="13"/>
  <c r="F11" i="13"/>
  <c r="G11" i="13"/>
  <c r="I11" i="13"/>
  <c r="B12" i="13"/>
  <c r="D12" i="13"/>
  <c r="E12" i="13"/>
  <c r="F12" i="13"/>
  <c r="G12" i="13"/>
  <c r="I12" i="13"/>
  <c r="B13" i="13"/>
  <c r="D13" i="13"/>
  <c r="E13" i="13"/>
  <c r="F13" i="13"/>
  <c r="G13" i="13"/>
  <c r="I13" i="13"/>
  <c r="B14" i="13"/>
  <c r="D14" i="13"/>
  <c r="E14" i="13"/>
  <c r="F14" i="13"/>
  <c r="G14" i="13"/>
  <c r="I14" i="13"/>
  <c r="B18" i="13"/>
  <c r="C18" i="13"/>
  <c r="D18" i="13"/>
  <c r="E18" i="13"/>
  <c r="A8" i="13" l="1"/>
  <c r="F18" i="13"/>
  <c r="A2" i="5"/>
  <c r="H2" i="12"/>
  <c r="C14" i="13"/>
  <c r="H2" i="11"/>
  <c r="C13" i="13"/>
  <c r="H2" i="10"/>
  <c r="C12" i="13"/>
  <c r="H2" i="9"/>
  <c r="C11" i="13"/>
  <c r="H2" i="8"/>
  <c r="C10" i="13"/>
  <c r="H2" i="7"/>
  <c r="C9" i="13"/>
  <c r="H2" i="6"/>
  <c r="C8" i="13"/>
  <c r="H2" i="5"/>
  <c r="C7" i="13"/>
  <c r="H2" i="4"/>
  <c r="C6" i="13"/>
  <c r="H2" i="3"/>
  <c r="C5" i="13"/>
  <c r="H2" i="2"/>
  <c r="C4" i="13"/>
  <c r="B15" i="13"/>
  <c r="C3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77" i="13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366" i="13"/>
  <c r="AA367" i="13"/>
  <c r="AA368" i="13"/>
  <c r="AA369" i="13"/>
  <c r="AA370" i="13"/>
  <c r="AA371" i="13"/>
  <c r="AA372" i="13"/>
  <c r="AA373" i="13"/>
  <c r="AA374" i="13"/>
  <c r="AA375" i="13"/>
  <c r="AA376" i="13"/>
  <c r="AA377" i="13"/>
  <c r="AA378" i="13"/>
  <c r="AA379" i="13"/>
  <c r="AA380" i="13"/>
  <c r="AA381" i="13"/>
  <c r="AA382" i="13"/>
  <c r="AA383" i="13"/>
  <c r="AA384" i="13"/>
  <c r="AA385" i="13"/>
  <c r="AA386" i="13"/>
  <c r="AA387" i="13"/>
  <c r="AA388" i="13"/>
  <c r="AA389" i="13"/>
  <c r="AA390" i="13"/>
  <c r="AA391" i="13"/>
  <c r="AA392" i="13"/>
  <c r="AA393" i="13"/>
  <c r="AA394" i="13"/>
  <c r="AA395" i="13"/>
  <c r="AA396" i="13"/>
  <c r="AA397" i="13"/>
  <c r="AA398" i="13"/>
  <c r="AA1179" i="13"/>
  <c r="AA1180" i="13"/>
  <c r="AA1181" i="13"/>
  <c r="AA1182" i="13"/>
  <c r="AA1183" i="13"/>
  <c r="AA1184" i="13"/>
  <c r="AA1185" i="13"/>
  <c r="AA1186" i="13"/>
  <c r="AA1187" i="13"/>
  <c r="AA1188" i="13"/>
  <c r="AA1189" i="13"/>
  <c r="AA1190" i="13"/>
  <c r="AA1191" i="13"/>
  <c r="AA1192" i="13"/>
  <c r="AA1193" i="13"/>
  <c r="AA1194" i="13"/>
  <c r="AA1195" i="13"/>
  <c r="AA1196" i="13"/>
  <c r="AA1197" i="13"/>
  <c r="AA1198" i="13"/>
  <c r="AA1199" i="13"/>
  <c r="AA1200" i="13"/>
  <c r="AA1201" i="13"/>
  <c r="AA1202" i="13"/>
  <c r="AA1073" i="13"/>
  <c r="AA1074" i="13"/>
  <c r="AA1075" i="13"/>
  <c r="AA1076" i="13"/>
  <c r="AA1077" i="13"/>
  <c r="AA1078" i="13"/>
  <c r="AA1079" i="13"/>
  <c r="AA1080" i="13"/>
  <c r="AA1081" i="13"/>
  <c r="AA1082" i="13"/>
  <c r="AA1083" i="13"/>
  <c r="AA1084" i="13"/>
  <c r="AA1085" i="13"/>
  <c r="AA1086" i="13"/>
  <c r="AA1087" i="13"/>
  <c r="AA1088" i="13"/>
  <c r="AA1089" i="13"/>
  <c r="AA1090" i="13"/>
  <c r="AA1091" i="13"/>
  <c r="AA1092" i="13"/>
  <c r="AA1093" i="13"/>
  <c r="AA1094" i="13"/>
  <c r="AA1095" i="13"/>
  <c r="AA1096" i="13"/>
  <c r="AA1097" i="13"/>
  <c r="AA1098" i="13"/>
  <c r="AA1099" i="13"/>
  <c r="AA1100" i="13"/>
  <c r="AA1101" i="13"/>
  <c r="AA966" i="13"/>
  <c r="AA967" i="13"/>
  <c r="AA968" i="13"/>
  <c r="AA969" i="13"/>
  <c r="AA970" i="13"/>
  <c r="AA971" i="13"/>
  <c r="AA972" i="13"/>
  <c r="AA973" i="13"/>
  <c r="AA974" i="13"/>
  <c r="AA975" i="13"/>
  <c r="AA976" i="13"/>
  <c r="AA977" i="13"/>
  <c r="AA978" i="13"/>
  <c r="AA979" i="13"/>
  <c r="AA980" i="13"/>
  <c r="AA981" i="13"/>
  <c r="AA982" i="13"/>
  <c r="AA983" i="13"/>
  <c r="AA984" i="13"/>
  <c r="AA985" i="13"/>
  <c r="AA986" i="13"/>
  <c r="AA987" i="13"/>
  <c r="AA988" i="13"/>
  <c r="AA989" i="13"/>
  <c r="AA990" i="13"/>
  <c r="AA991" i="13"/>
  <c r="AA992" i="13"/>
  <c r="AA993" i="13"/>
  <c r="AA994" i="13"/>
  <c r="AA995" i="13"/>
  <c r="AA996" i="13"/>
  <c r="AA997" i="13"/>
  <c r="AA998" i="13"/>
  <c r="AA999" i="13"/>
  <c r="AA1000" i="13"/>
  <c r="AA864" i="13"/>
  <c r="AA865" i="13"/>
  <c r="AA866" i="13"/>
  <c r="AA867" i="13"/>
  <c r="AA868" i="13"/>
  <c r="AA869" i="13"/>
  <c r="AA870" i="13"/>
  <c r="AA871" i="13"/>
  <c r="AA872" i="13"/>
  <c r="AA873" i="13"/>
  <c r="AA874" i="13"/>
  <c r="AA875" i="13"/>
  <c r="AA876" i="13"/>
  <c r="AA877" i="13"/>
  <c r="AA878" i="13"/>
  <c r="AA879" i="13"/>
  <c r="AA880" i="13"/>
  <c r="AA881" i="13"/>
  <c r="AA882" i="13"/>
  <c r="AA883" i="13"/>
  <c r="AA884" i="13"/>
  <c r="AA885" i="13"/>
  <c r="AA886" i="13"/>
  <c r="AA887" i="13"/>
  <c r="AA888" i="13"/>
  <c r="AA889" i="13"/>
  <c r="AA890" i="13"/>
  <c r="AA891" i="13"/>
  <c r="AA892" i="13"/>
  <c r="AA893" i="13"/>
  <c r="AA894" i="13"/>
  <c r="AA895" i="13"/>
  <c r="AA896" i="13"/>
  <c r="AA897" i="13"/>
  <c r="AA898" i="13"/>
  <c r="AA899" i="13"/>
  <c r="AA797" i="13"/>
  <c r="AA798" i="13"/>
  <c r="AA766" i="13"/>
  <c r="AA767" i="13"/>
  <c r="AA768" i="13"/>
  <c r="AA769" i="13"/>
  <c r="AA770" i="13"/>
  <c r="AA771" i="13"/>
  <c r="AA772" i="13"/>
  <c r="AA773" i="13"/>
  <c r="AA774" i="13"/>
  <c r="AA775" i="13"/>
  <c r="AA776" i="13"/>
  <c r="AA777" i="13"/>
  <c r="AA778" i="13"/>
  <c r="AA779" i="13"/>
  <c r="AA780" i="13"/>
  <c r="AA781" i="13"/>
  <c r="AA782" i="13"/>
  <c r="AA783" i="13"/>
  <c r="AA784" i="13"/>
  <c r="AA785" i="13"/>
  <c r="AA786" i="13"/>
  <c r="AA787" i="13"/>
  <c r="AA788" i="13"/>
  <c r="AA789" i="13"/>
  <c r="AA790" i="13"/>
  <c r="AA791" i="13"/>
  <c r="AA792" i="13"/>
  <c r="AA793" i="13"/>
  <c r="AA794" i="13"/>
  <c r="AA795" i="13"/>
  <c r="AA796" i="13"/>
  <c r="AA666" i="13"/>
  <c r="AA667" i="13"/>
  <c r="AA668" i="13"/>
  <c r="AA669" i="13"/>
  <c r="AA670" i="13"/>
  <c r="AA671" i="13"/>
  <c r="AA672" i="13"/>
  <c r="AA673" i="13"/>
  <c r="AA674" i="13"/>
  <c r="AA675" i="13"/>
  <c r="AA676" i="13"/>
  <c r="AA677" i="13"/>
  <c r="AA678" i="13"/>
  <c r="AA679" i="13"/>
  <c r="AA680" i="13"/>
  <c r="AA681" i="13"/>
  <c r="AA682" i="13"/>
  <c r="AA683" i="13"/>
  <c r="AA684" i="13"/>
  <c r="AA685" i="13"/>
  <c r="AA686" i="13"/>
  <c r="AA687" i="13"/>
  <c r="AA688" i="13"/>
  <c r="AA689" i="13"/>
  <c r="AA690" i="13"/>
  <c r="AA691" i="13"/>
  <c r="AA692" i="13"/>
  <c r="AA693" i="13"/>
  <c r="AA694" i="13"/>
  <c r="AA695" i="13"/>
  <c r="AA696" i="13"/>
  <c r="AA697" i="13"/>
  <c r="AA594" i="13"/>
  <c r="AA595" i="13"/>
  <c r="AA596" i="13"/>
  <c r="AA597" i="13"/>
  <c r="AA598" i="13"/>
  <c r="AA565" i="13"/>
  <c r="AA566" i="13"/>
  <c r="AA567" i="13"/>
  <c r="AA568" i="13"/>
  <c r="AA569" i="13"/>
  <c r="AA570" i="13"/>
  <c r="AA571" i="13"/>
  <c r="AA572" i="13"/>
  <c r="AA573" i="13"/>
  <c r="AA574" i="13"/>
  <c r="AA575" i="13"/>
  <c r="AA576" i="13"/>
  <c r="AA577" i="13"/>
  <c r="AA578" i="13"/>
  <c r="AA579" i="13"/>
  <c r="AA580" i="13"/>
  <c r="AA581" i="13"/>
  <c r="AA582" i="13"/>
  <c r="AA583" i="13"/>
  <c r="AA584" i="13"/>
  <c r="AA585" i="13"/>
  <c r="AA586" i="13"/>
  <c r="AA587" i="13"/>
  <c r="AA588" i="13"/>
  <c r="AA589" i="13"/>
  <c r="AA590" i="13"/>
  <c r="AA591" i="13"/>
  <c r="AA592" i="13"/>
  <c r="AA593" i="13"/>
  <c r="AA468" i="13"/>
  <c r="AA469" i="13"/>
  <c r="AA470" i="13"/>
  <c r="AA471" i="13"/>
  <c r="AA472" i="13"/>
  <c r="AA473" i="13"/>
  <c r="AA474" i="13"/>
  <c r="AA475" i="13"/>
  <c r="AA476" i="13"/>
  <c r="AA477" i="13"/>
  <c r="AA478" i="13"/>
  <c r="AA479" i="13"/>
  <c r="AA480" i="13"/>
  <c r="AA481" i="13"/>
  <c r="AA482" i="13"/>
  <c r="AA483" i="13"/>
  <c r="AA484" i="13"/>
  <c r="AA485" i="13"/>
  <c r="AA486" i="13"/>
  <c r="AA487" i="13"/>
  <c r="AA488" i="13"/>
  <c r="AA489" i="13"/>
  <c r="AA490" i="13"/>
  <c r="AA491" i="13"/>
  <c r="AA492" i="13"/>
  <c r="AA493" i="13"/>
  <c r="AA494" i="13"/>
  <c r="AA495" i="13"/>
  <c r="AA496" i="13"/>
  <c r="AA497" i="13"/>
  <c r="AA498" i="13"/>
  <c r="AA499" i="13"/>
  <c r="AA1175" i="13"/>
  <c r="AA467" i="13"/>
  <c r="A9" i="13" l="1"/>
  <c r="A2" i="6"/>
  <c r="G18" i="13"/>
  <c r="AA65" i="13"/>
  <c r="AA163" i="13"/>
  <c r="AA263" i="13"/>
  <c r="AA262" i="13"/>
  <c r="AA162" i="13"/>
  <c r="AA64" i="13"/>
  <c r="AA63" i="13"/>
  <c r="AA62" i="13"/>
  <c r="AA1178" i="13"/>
  <c r="AA1177" i="13"/>
  <c r="AA1176" i="13"/>
  <c r="AA1172" i="13"/>
  <c r="AA1174" i="13"/>
  <c r="AA1173" i="13"/>
  <c r="AA1171" i="13"/>
  <c r="AA1170" i="13"/>
  <c r="AA1163" i="13"/>
  <c r="AA1169" i="13"/>
  <c r="AA1162" i="13"/>
  <c r="AA1168" i="13"/>
  <c r="AA1161" i="13"/>
  <c r="AA1167" i="13"/>
  <c r="AA1158" i="13"/>
  <c r="AA1160" i="13"/>
  <c r="AA1166" i="13"/>
  <c r="AA1165" i="13"/>
  <c r="AA1159" i="13"/>
  <c r="AA1164" i="13"/>
  <c r="AA1153" i="13"/>
  <c r="AA1154" i="13"/>
  <c r="AA1155" i="13"/>
  <c r="AA1156" i="13"/>
  <c r="AA1157" i="13"/>
  <c r="AA1150" i="13"/>
  <c r="AA1151" i="13"/>
  <c r="AA1152" i="13"/>
  <c r="AA1146" i="13"/>
  <c r="AA1149" i="13"/>
  <c r="AA1148" i="13"/>
  <c r="AA1147" i="13"/>
  <c r="AA1143" i="13"/>
  <c r="AA1145" i="13"/>
  <c r="AA1144" i="13"/>
  <c r="AA1140" i="13"/>
  <c r="AA1142" i="13"/>
  <c r="AA1141" i="13"/>
  <c r="AA1138" i="13"/>
  <c r="AA1139" i="13"/>
  <c r="AA1135" i="13"/>
  <c r="AA1137" i="13"/>
  <c r="AA1136" i="13"/>
  <c r="AA1133" i="13"/>
  <c r="AA1134" i="13"/>
  <c r="AA1070" i="13"/>
  <c r="AA1071" i="13"/>
  <c r="AA1072" i="13"/>
  <c r="AA1067" i="13"/>
  <c r="AA1068" i="13"/>
  <c r="AA1069" i="13"/>
  <c r="AA1065" i="13"/>
  <c r="AA1066" i="13"/>
  <c r="AA1063" i="13"/>
  <c r="AA1064" i="13"/>
  <c r="AA1060" i="13"/>
  <c r="AA1061" i="13"/>
  <c r="AA1062" i="13"/>
  <c r="AA1056" i="13"/>
  <c r="AA1057" i="13"/>
  <c r="AA1058" i="13"/>
  <c r="AA1059" i="13"/>
  <c r="AA1051" i="13"/>
  <c r="AA1055" i="13"/>
  <c r="AA1054" i="13"/>
  <c r="AA1053" i="13"/>
  <c r="AA1052" i="13"/>
  <c r="AA1047" i="13"/>
  <c r="AA1048" i="13"/>
  <c r="AA1049" i="13"/>
  <c r="AA1050" i="13"/>
  <c r="AA1044" i="13"/>
  <c r="AA1046" i="13"/>
  <c r="AA1045" i="13"/>
  <c r="AA1041" i="13"/>
  <c r="AA1042" i="13"/>
  <c r="AA1043" i="13"/>
  <c r="AA1039" i="13"/>
  <c r="AA1040" i="13"/>
  <c r="AA1035" i="13"/>
  <c r="AA1038" i="13"/>
  <c r="AA1037" i="13"/>
  <c r="AA1036" i="13"/>
  <c r="AA1033" i="13"/>
  <c r="AA1034" i="13"/>
  <c r="AA1031" i="13"/>
  <c r="AA1032" i="13"/>
  <c r="AA1029" i="13"/>
  <c r="AA1030" i="13"/>
  <c r="AA1003" i="13"/>
  <c r="AA1015" i="13"/>
  <c r="AA1027" i="13"/>
  <c r="AA1004" i="13"/>
  <c r="AA1016" i="13"/>
  <c r="AA1028" i="13"/>
  <c r="AA1005" i="13"/>
  <c r="AA1017" i="13"/>
  <c r="AA1025" i="13"/>
  <c r="AA1013" i="13"/>
  <c r="AA1024" i="13"/>
  <c r="AA1012" i="13"/>
  <c r="AA1023" i="13"/>
  <c r="AA1011" i="13"/>
  <c r="AA1022" i="13"/>
  <c r="AA1010" i="13"/>
  <c r="AA1021" i="13"/>
  <c r="AA1009" i="13"/>
  <c r="AA1014" i="13"/>
  <c r="AA1020" i="13"/>
  <c r="AA1008" i="13"/>
  <c r="AA1019" i="13"/>
  <c r="AA1007" i="13"/>
  <c r="AA1026" i="13"/>
  <c r="AA1018" i="13"/>
  <c r="AA1006" i="13"/>
  <c r="AA964" i="13"/>
  <c r="AA965" i="13"/>
  <c r="AA960" i="13"/>
  <c r="AA963" i="13"/>
  <c r="AA962" i="13"/>
  <c r="AA961" i="13"/>
  <c r="AA957" i="13"/>
  <c r="AA958" i="13"/>
  <c r="AA959" i="13"/>
  <c r="AA953" i="13"/>
  <c r="AA954" i="13"/>
  <c r="AA955" i="13"/>
  <c r="AA956" i="13"/>
  <c r="AA951" i="13"/>
  <c r="AA952" i="13"/>
  <c r="AA948" i="13"/>
  <c r="AA949" i="13"/>
  <c r="AA950" i="13"/>
  <c r="AA944" i="13"/>
  <c r="AA945" i="13"/>
  <c r="AA946" i="13"/>
  <c r="AA947" i="13"/>
  <c r="AA942" i="13"/>
  <c r="AA943" i="13"/>
  <c r="AA934" i="13"/>
  <c r="AA940" i="13"/>
  <c r="AA941" i="13"/>
  <c r="AA939" i="13"/>
  <c r="AA938" i="13"/>
  <c r="AA937" i="13"/>
  <c r="AA936" i="13"/>
  <c r="AA935" i="13"/>
  <c r="AA931" i="13"/>
  <c r="AA932" i="13"/>
  <c r="AA933" i="13"/>
  <c r="AA929" i="13"/>
  <c r="AA930" i="13"/>
  <c r="AA913" i="13"/>
  <c r="AA925" i="13"/>
  <c r="AA902" i="13"/>
  <c r="AA914" i="13"/>
  <c r="AA926" i="13"/>
  <c r="AA903" i="13"/>
  <c r="AA915" i="13"/>
  <c r="AA927" i="13"/>
  <c r="AA904" i="13"/>
  <c r="AA916" i="13"/>
  <c r="AA928" i="13"/>
  <c r="AA905" i="13"/>
  <c r="AA917" i="13"/>
  <c r="AA906" i="13"/>
  <c r="AA918" i="13"/>
  <c r="AA923" i="13"/>
  <c r="AA911" i="13"/>
  <c r="AA924" i="13"/>
  <c r="AA912" i="13"/>
  <c r="AA922" i="13"/>
  <c r="AA910" i="13"/>
  <c r="AA921" i="13"/>
  <c r="AA909" i="13"/>
  <c r="AA920" i="13"/>
  <c r="AA908" i="13"/>
  <c r="AA919" i="13"/>
  <c r="AA907" i="13"/>
  <c r="AA660" i="13"/>
  <c r="AA765" i="13"/>
  <c r="AA855" i="13"/>
  <c r="AA863" i="13"/>
  <c r="AA862" i="13"/>
  <c r="AA861" i="13"/>
  <c r="AA860" i="13"/>
  <c r="AA859" i="13"/>
  <c r="AA858" i="13"/>
  <c r="AA857" i="13"/>
  <c r="AA856" i="13"/>
  <c r="AA852" i="13"/>
  <c r="AA853" i="13"/>
  <c r="AA854" i="13"/>
  <c r="AA841" i="13"/>
  <c r="AA851" i="13"/>
  <c r="AA850" i="13"/>
  <c r="AA849" i="13"/>
  <c r="AA847" i="13"/>
  <c r="AA848" i="13"/>
  <c r="AA846" i="13"/>
  <c r="AA845" i="13"/>
  <c r="AA844" i="13"/>
  <c r="AA843" i="13"/>
  <c r="AA842" i="13"/>
  <c r="AA840" i="13"/>
  <c r="AA839" i="13"/>
  <c r="AA829" i="13"/>
  <c r="AA838" i="13"/>
  <c r="AA837" i="13"/>
  <c r="AA836" i="13"/>
  <c r="AA835" i="13"/>
  <c r="AA834" i="13"/>
  <c r="AA833" i="13"/>
  <c r="AA832" i="13"/>
  <c r="AA831" i="13"/>
  <c r="AA830" i="13"/>
  <c r="AA805" i="13"/>
  <c r="AA817" i="13"/>
  <c r="AA806" i="13"/>
  <c r="AA818" i="13"/>
  <c r="AA807" i="13"/>
  <c r="AA819" i="13"/>
  <c r="AA812" i="13"/>
  <c r="AA802" i="13"/>
  <c r="AA826" i="13"/>
  <c r="AA808" i="13"/>
  <c r="AA820" i="13"/>
  <c r="AA809" i="13"/>
  <c r="AA821" i="13"/>
  <c r="AA810" i="13"/>
  <c r="AA822" i="13"/>
  <c r="AA824" i="13"/>
  <c r="AA814" i="13"/>
  <c r="AA811" i="13"/>
  <c r="AA823" i="13"/>
  <c r="AA828" i="13"/>
  <c r="AA816" i="13"/>
  <c r="AA804" i="13"/>
  <c r="AA827" i="13"/>
  <c r="AA815" i="13"/>
  <c r="AA803" i="13"/>
  <c r="AA825" i="13"/>
  <c r="AA813" i="13"/>
  <c r="AA801" i="13"/>
  <c r="AA763" i="13"/>
  <c r="AA764" i="13"/>
  <c r="AA761" i="13"/>
  <c r="AA762" i="13"/>
  <c r="AA758" i="13"/>
  <c r="AA759" i="13"/>
  <c r="AA760" i="13"/>
  <c r="AA754" i="13"/>
  <c r="AA755" i="13"/>
  <c r="AA756" i="13"/>
  <c r="AA757" i="13"/>
  <c r="AA749" i="13"/>
  <c r="AA753" i="13"/>
  <c r="AA752" i="13"/>
  <c r="AA751" i="13"/>
  <c r="AA750" i="13"/>
  <c r="AA745" i="13"/>
  <c r="AA746" i="13"/>
  <c r="AA747" i="13"/>
  <c r="AA748" i="13"/>
  <c r="AA743" i="13"/>
  <c r="AA744" i="13"/>
  <c r="AA741" i="13"/>
  <c r="AA742" i="13"/>
  <c r="AA739" i="13"/>
  <c r="AA740" i="13"/>
  <c r="AA736" i="13"/>
  <c r="AA738" i="13"/>
  <c r="AA737" i="13"/>
  <c r="AA733" i="13"/>
  <c r="AA735" i="13"/>
  <c r="AA734" i="13"/>
  <c r="AA731" i="13"/>
  <c r="AA732" i="13"/>
  <c r="AA728" i="13"/>
  <c r="AA730" i="13"/>
  <c r="AA729" i="13"/>
  <c r="AA726" i="13"/>
  <c r="AA727" i="13"/>
  <c r="AA711" i="13"/>
  <c r="AA723" i="13"/>
  <c r="AA700" i="13"/>
  <c r="AA712" i="13"/>
  <c r="AA724" i="13"/>
  <c r="AA701" i="13"/>
  <c r="AA713" i="13"/>
  <c r="AA725" i="13"/>
  <c r="AA702" i="13"/>
  <c r="AA714" i="13"/>
  <c r="AA703" i="13"/>
  <c r="AA715" i="13"/>
  <c r="AA710" i="13"/>
  <c r="AA721" i="13"/>
  <c r="AA709" i="13"/>
  <c r="AA720" i="13"/>
  <c r="AA708" i="13"/>
  <c r="AA719" i="13"/>
  <c r="AA707" i="13"/>
  <c r="AA722" i="13"/>
  <c r="AA718" i="13"/>
  <c r="AA706" i="13"/>
  <c r="AA717" i="13"/>
  <c r="AA705" i="13"/>
  <c r="AA716" i="13"/>
  <c r="AA704" i="13"/>
  <c r="AA665" i="13"/>
  <c r="AA664" i="13"/>
  <c r="AA663" i="13"/>
  <c r="AA662" i="13"/>
  <c r="AA661" i="13"/>
  <c r="AA658" i="13"/>
  <c r="AA659" i="13"/>
  <c r="AA650" i="13"/>
  <c r="AA655" i="13"/>
  <c r="AA656" i="13"/>
  <c r="AA657" i="13"/>
  <c r="AA654" i="13"/>
  <c r="AA653" i="13"/>
  <c r="AA652" i="13"/>
  <c r="AA651" i="13"/>
  <c r="AA643" i="13"/>
  <c r="AA648" i="13"/>
  <c r="AA649" i="13"/>
  <c r="AA647" i="13"/>
  <c r="AA646" i="13"/>
  <c r="AA645" i="13"/>
  <c r="AA644" i="13"/>
  <c r="AA641" i="13"/>
  <c r="AA642" i="13"/>
  <c r="AA636" i="13"/>
  <c r="AA640" i="13"/>
  <c r="AA639" i="13"/>
  <c r="AA638" i="13"/>
  <c r="AA637" i="13"/>
  <c r="AA633" i="13"/>
  <c r="AA635" i="13"/>
  <c r="AA634" i="13"/>
  <c r="AA630" i="13"/>
  <c r="AA632" i="13"/>
  <c r="AA631" i="13"/>
  <c r="AA629" i="13"/>
  <c r="AA561" i="13"/>
  <c r="AA564" i="13"/>
  <c r="AA563" i="13"/>
  <c r="AA562" i="13"/>
  <c r="AA558" i="13"/>
  <c r="AA560" i="13"/>
  <c r="AA559" i="13"/>
  <c r="AA554" i="13"/>
  <c r="AA557" i="13"/>
  <c r="AA556" i="13"/>
  <c r="AA555" i="13"/>
  <c r="AA548" i="13"/>
  <c r="AA550" i="13"/>
  <c r="AA551" i="13"/>
  <c r="AA552" i="13"/>
  <c r="AA553" i="13"/>
  <c r="AA549" i="13"/>
  <c r="AA538" i="13"/>
  <c r="AA546" i="13"/>
  <c r="AA547" i="13"/>
  <c r="AA545" i="13"/>
  <c r="AA544" i="13"/>
  <c r="AA543" i="13"/>
  <c r="AA542" i="13"/>
  <c r="AA541" i="13"/>
  <c r="AA540" i="13"/>
  <c r="AA539" i="13"/>
  <c r="AA530" i="13"/>
  <c r="AA537" i="13"/>
  <c r="AA536" i="13"/>
  <c r="AA535" i="13"/>
  <c r="AA534" i="13"/>
  <c r="AA533" i="13"/>
  <c r="AA532" i="13"/>
  <c r="AA531" i="13"/>
  <c r="AA509" i="13"/>
  <c r="AA521" i="13"/>
  <c r="AA528" i="13"/>
  <c r="AA510" i="13"/>
  <c r="AA522" i="13"/>
  <c r="AA511" i="13"/>
  <c r="AA523" i="13"/>
  <c r="AA516" i="13"/>
  <c r="AA512" i="13"/>
  <c r="AA524" i="13"/>
  <c r="AA513" i="13"/>
  <c r="AA525" i="13"/>
  <c r="AA502" i="13"/>
  <c r="AA514" i="13"/>
  <c r="AA526" i="13"/>
  <c r="AA503" i="13"/>
  <c r="AA515" i="13"/>
  <c r="AA527" i="13"/>
  <c r="AA520" i="13"/>
  <c r="AA504" i="13"/>
  <c r="AA508" i="13"/>
  <c r="AA519" i="13"/>
  <c r="AA507" i="13"/>
  <c r="AA518" i="13"/>
  <c r="AA506" i="13"/>
  <c r="AA529" i="13"/>
  <c r="AA517" i="13"/>
  <c r="AA505" i="13"/>
  <c r="AA464" i="13"/>
  <c r="AA466" i="13"/>
  <c r="AA465" i="13"/>
  <c r="AA461" i="13"/>
  <c r="AA462" i="13"/>
  <c r="AA463" i="13"/>
  <c r="AA459" i="13"/>
  <c r="AA460" i="13"/>
  <c r="AA457" i="13"/>
  <c r="AA458" i="13"/>
  <c r="AA455" i="13"/>
  <c r="AA456" i="13"/>
  <c r="AA357" i="13"/>
  <c r="AA453" i="13"/>
  <c r="AA454" i="13"/>
  <c r="AA450" i="13"/>
  <c r="AA451" i="13"/>
  <c r="AA452" i="13"/>
  <c r="AA448" i="13"/>
  <c r="AA449" i="13"/>
  <c r="AA442" i="13"/>
  <c r="AA447" i="13"/>
  <c r="AA446" i="13"/>
  <c r="AA445" i="13"/>
  <c r="AA444" i="13"/>
  <c r="AA443" i="13"/>
  <c r="AA440" i="13"/>
  <c r="AA441" i="13"/>
  <c r="AA434" i="13"/>
  <c r="AA439" i="13"/>
  <c r="AA438" i="13"/>
  <c r="AA437" i="13"/>
  <c r="AA436" i="13"/>
  <c r="AA435" i="13"/>
  <c r="AA432" i="13"/>
  <c r="AA433" i="13"/>
  <c r="AA430" i="13"/>
  <c r="AA431" i="13"/>
  <c r="AA412" i="13"/>
  <c r="AA424" i="13"/>
  <c r="AA423" i="13"/>
  <c r="AA411" i="13"/>
  <c r="AA422" i="13"/>
  <c r="AA410" i="13"/>
  <c r="AA421" i="13"/>
  <c r="AA409" i="13"/>
  <c r="AA420" i="13"/>
  <c r="AA408" i="13"/>
  <c r="AA419" i="13"/>
  <c r="AA407" i="13"/>
  <c r="AA418" i="13"/>
  <c r="AA406" i="13"/>
  <c r="AA405" i="13"/>
  <c r="AA417" i="13"/>
  <c r="AA428" i="13"/>
  <c r="AA416" i="13"/>
  <c r="AA404" i="13"/>
  <c r="AA427" i="13"/>
  <c r="AA415" i="13"/>
  <c r="AA403" i="13"/>
  <c r="AA429" i="13"/>
  <c r="AA426" i="13"/>
  <c r="AA414" i="13"/>
  <c r="AA402" i="13"/>
  <c r="AA425" i="13"/>
  <c r="AA413" i="13"/>
  <c r="AA401" i="13"/>
  <c r="AA365" i="13"/>
  <c r="AA364" i="13"/>
  <c r="AA363" i="13"/>
  <c r="AA362" i="13"/>
  <c r="AA361" i="13"/>
  <c r="AA360" i="13"/>
  <c r="AA359" i="13"/>
  <c r="AA358" i="13"/>
  <c r="AA354" i="13"/>
  <c r="AA356" i="13"/>
  <c r="AA355" i="13"/>
  <c r="AA342" i="13"/>
  <c r="AA353" i="13"/>
  <c r="AA352" i="13"/>
  <c r="AA351" i="13"/>
  <c r="AA350" i="13"/>
  <c r="AA349" i="13"/>
  <c r="AA348" i="13"/>
  <c r="AA347" i="13"/>
  <c r="AA346" i="13"/>
  <c r="AA345" i="13"/>
  <c r="AA344" i="13"/>
  <c r="AA343" i="13"/>
  <c r="AA340" i="13"/>
  <c r="AA341" i="13"/>
  <c r="AA329" i="13"/>
  <c r="AA339" i="13"/>
  <c r="AA338" i="13"/>
  <c r="AA337" i="13"/>
  <c r="AA336" i="13"/>
  <c r="AA335" i="13"/>
  <c r="AA334" i="13"/>
  <c r="AA333" i="13"/>
  <c r="AA332" i="13"/>
  <c r="AA331" i="13"/>
  <c r="AA330" i="13"/>
  <c r="AA304" i="13"/>
  <c r="AA316" i="13"/>
  <c r="AA328" i="13"/>
  <c r="AA317" i="13"/>
  <c r="AA305" i="13"/>
  <c r="AA306" i="13"/>
  <c r="AA318" i="13"/>
  <c r="AA326" i="13"/>
  <c r="AA314" i="13"/>
  <c r="AA302" i="13"/>
  <c r="AA325" i="13"/>
  <c r="AA313" i="13"/>
  <c r="AA301" i="13"/>
  <c r="AA324" i="13"/>
  <c r="AA312" i="13"/>
  <c r="AA311" i="13"/>
  <c r="AA303" i="13"/>
  <c r="AA323" i="13"/>
  <c r="AA322" i="13"/>
  <c r="AA310" i="13"/>
  <c r="AA321" i="13"/>
  <c r="AA309" i="13"/>
  <c r="AA327" i="13"/>
  <c r="AA320" i="13"/>
  <c r="AA308" i="13"/>
  <c r="AA315" i="13"/>
  <c r="AA319" i="13"/>
  <c r="AA307" i="13"/>
  <c r="AA628" i="13"/>
  <c r="AA616" i="13"/>
  <c r="AA604" i="13"/>
  <c r="AA627" i="13"/>
  <c r="AA615" i="13"/>
  <c r="AA603" i="13"/>
  <c r="AA606" i="13"/>
  <c r="AA617" i="13"/>
  <c r="AA605" i="13"/>
  <c r="AA626" i="13"/>
  <c r="AA614" i="13"/>
  <c r="AA602" i="13"/>
  <c r="AA625" i="13"/>
  <c r="AA613" i="13"/>
  <c r="AA601" i="13"/>
  <c r="AA618" i="13"/>
  <c r="AA624" i="13"/>
  <c r="AA612" i="13"/>
  <c r="AA623" i="13"/>
  <c r="AA611" i="13"/>
  <c r="AA622" i="13"/>
  <c r="AA610" i="13"/>
  <c r="AA621" i="13"/>
  <c r="AA609" i="13"/>
  <c r="AA620" i="13"/>
  <c r="AA608" i="13"/>
  <c r="AA619" i="13"/>
  <c r="AA607" i="13"/>
  <c r="AA1111" i="13"/>
  <c r="AA1123" i="13"/>
  <c r="AA1112" i="13"/>
  <c r="AA1124" i="13"/>
  <c r="AA1113" i="13"/>
  <c r="AA1125" i="13"/>
  <c r="AA1110" i="13"/>
  <c r="AA1122" i="13"/>
  <c r="AA1114" i="13"/>
  <c r="AA1126" i="13"/>
  <c r="AA1115" i="13"/>
  <c r="AA1127" i="13"/>
  <c r="AA1121" i="13"/>
  <c r="AA1109" i="13"/>
  <c r="AA1132" i="13"/>
  <c r="AA1120" i="13"/>
  <c r="AA1108" i="13"/>
  <c r="AA1131" i="13"/>
  <c r="AA1119" i="13"/>
  <c r="AA1107" i="13"/>
  <c r="AA1130" i="13"/>
  <c r="AA1118" i="13"/>
  <c r="AA1106" i="13"/>
  <c r="AA1129" i="13"/>
  <c r="AA1117" i="13"/>
  <c r="AA1105" i="13"/>
  <c r="AA1128" i="13"/>
  <c r="AA1116" i="13"/>
  <c r="AA1104" i="13"/>
  <c r="AA261" i="13"/>
  <c r="AA161" i="13"/>
  <c r="AA259" i="13"/>
  <c r="AA247" i="13"/>
  <c r="AA235" i="13"/>
  <c r="AA223" i="13"/>
  <c r="AA211" i="13"/>
  <c r="AA260" i="13"/>
  <c r="AA236" i="13"/>
  <c r="AA212" i="13"/>
  <c r="AA258" i="13"/>
  <c r="AA210" i="13"/>
  <c r="AA248" i="13"/>
  <c r="AA224" i="13"/>
  <c r="AA222" i="13"/>
  <c r="AA257" i="13"/>
  <c r="AA245" i="13"/>
  <c r="AA233" i="13"/>
  <c r="AA221" i="13"/>
  <c r="AA209" i="13"/>
  <c r="AA234" i="13"/>
  <c r="AA256" i="13"/>
  <c r="AA244" i="13"/>
  <c r="AA232" i="13"/>
  <c r="AA220" i="13"/>
  <c r="AA208" i="13"/>
  <c r="AA255" i="13"/>
  <c r="AA243" i="13"/>
  <c r="AA231" i="13"/>
  <c r="AA219" i="13"/>
  <c r="AA207" i="13"/>
  <c r="AA246" i="13"/>
  <c r="AA254" i="13"/>
  <c r="AA242" i="13"/>
  <c r="AA230" i="13"/>
  <c r="AA218" i="13"/>
  <c r="AA206" i="13"/>
  <c r="AA253" i="13"/>
  <c r="AA241" i="13"/>
  <c r="AA229" i="13"/>
  <c r="AA217" i="13"/>
  <c r="AA205" i="13"/>
  <c r="AA252" i="13"/>
  <c r="AA240" i="13"/>
  <c r="AA228" i="13"/>
  <c r="AA216" i="13"/>
  <c r="AA204" i="13"/>
  <c r="AA251" i="13"/>
  <c r="AA239" i="13"/>
  <c r="AA227" i="13"/>
  <c r="AA215" i="13"/>
  <c r="AA203" i="13"/>
  <c r="AA250" i="13"/>
  <c r="AA238" i="13"/>
  <c r="AA226" i="13"/>
  <c r="AA214" i="13"/>
  <c r="AA202" i="13"/>
  <c r="AA200" i="13"/>
  <c r="AA249" i="13"/>
  <c r="AA237" i="13"/>
  <c r="AA225" i="13"/>
  <c r="AA213" i="13"/>
  <c r="AA201" i="13"/>
  <c r="AA143" i="13"/>
  <c r="AA119" i="13"/>
  <c r="AA154" i="13"/>
  <c r="AA142" i="13"/>
  <c r="AA130" i="13"/>
  <c r="AA118" i="13"/>
  <c r="AA106" i="13"/>
  <c r="AA153" i="13"/>
  <c r="AA141" i="13"/>
  <c r="AA129" i="13"/>
  <c r="AA117" i="13"/>
  <c r="AA105" i="13"/>
  <c r="AA155" i="13"/>
  <c r="AA131" i="13"/>
  <c r="AA152" i="13"/>
  <c r="AA140" i="13"/>
  <c r="AA128" i="13"/>
  <c r="AA116" i="13"/>
  <c r="AA104" i="13"/>
  <c r="AA107" i="13"/>
  <c r="AA151" i="13"/>
  <c r="AA103" i="13"/>
  <c r="AA139" i="13"/>
  <c r="AA127" i="13"/>
  <c r="AA115" i="13"/>
  <c r="AA150" i="13"/>
  <c r="AA138" i="13"/>
  <c r="AA126" i="13"/>
  <c r="AA114" i="13"/>
  <c r="AA102" i="13"/>
  <c r="AA149" i="13"/>
  <c r="AA137" i="13"/>
  <c r="AA125" i="13"/>
  <c r="AA113" i="13"/>
  <c r="AA101" i="13"/>
  <c r="AA148" i="13"/>
  <c r="AA136" i="13"/>
  <c r="AA124" i="13"/>
  <c r="AA112" i="13"/>
  <c r="AA159" i="13"/>
  <c r="AA135" i="13"/>
  <c r="AA123" i="13"/>
  <c r="AA111" i="13"/>
  <c r="AA158" i="13"/>
  <c r="AA134" i="13"/>
  <c r="AA122" i="13"/>
  <c r="AA157" i="13"/>
  <c r="AA145" i="13"/>
  <c r="AA133" i="13"/>
  <c r="AA121" i="13"/>
  <c r="AA109" i="13"/>
  <c r="AA160" i="13"/>
  <c r="AA147" i="13"/>
  <c r="AA146" i="13"/>
  <c r="AA110" i="13"/>
  <c r="AA156" i="13"/>
  <c r="AA144" i="13"/>
  <c r="AA132" i="13"/>
  <c r="AA120" i="13"/>
  <c r="AA108" i="13"/>
  <c r="AA61" i="13"/>
  <c r="AA46" i="13"/>
  <c r="AA57" i="13"/>
  <c r="AA45" i="13"/>
  <c r="AA33" i="13"/>
  <c r="AA21" i="13"/>
  <c r="AA9" i="13"/>
  <c r="AA34" i="13"/>
  <c r="AA10" i="13"/>
  <c r="AA56" i="13"/>
  <c r="AA44" i="13"/>
  <c r="AA32" i="13"/>
  <c r="AA20" i="13"/>
  <c r="AA8" i="13"/>
  <c r="AA55" i="13"/>
  <c r="AA43" i="13"/>
  <c r="AA31" i="13"/>
  <c r="AA19" i="13"/>
  <c r="AA7" i="13"/>
  <c r="AA6" i="13"/>
  <c r="AA5" i="13"/>
  <c r="AA54" i="13"/>
  <c r="AA42" i="13"/>
  <c r="AA30" i="13"/>
  <c r="AA18" i="13"/>
  <c r="AA53" i="13"/>
  <c r="AA41" i="13"/>
  <c r="AA29" i="13"/>
  <c r="AA17" i="13"/>
  <c r="AA52" i="13"/>
  <c r="AA40" i="13"/>
  <c r="AA28" i="13"/>
  <c r="AA16" i="13"/>
  <c r="AA4" i="13"/>
  <c r="AA51" i="13"/>
  <c r="AA39" i="13"/>
  <c r="AA27" i="13"/>
  <c r="AA15" i="13"/>
  <c r="AA50" i="13"/>
  <c r="AA38" i="13"/>
  <c r="AA26" i="13"/>
  <c r="AA14" i="13"/>
  <c r="AA22" i="13"/>
  <c r="AA49" i="13"/>
  <c r="AA37" i="13"/>
  <c r="AA25" i="13"/>
  <c r="AA13" i="13"/>
  <c r="AA48" i="13"/>
  <c r="AA36" i="13"/>
  <c r="AA24" i="13"/>
  <c r="AA12" i="13"/>
  <c r="AA58" i="13"/>
  <c r="AA59" i="13"/>
  <c r="AA47" i="13"/>
  <c r="AA35" i="13"/>
  <c r="AA23" i="13"/>
  <c r="AA11" i="13"/>
  <c r="AA60" i="13"/>
  <c r="G3" i="13"/>
  <c r="H18" i="13" l="1"/>
  <c r="A2" i="7"/>
  <c r="A10" i="13"/>
  <c r="H4" i="13"/>
  <c r="AA3" i="13"/>
  <c r="A18" i="13" s="1" a="1"/>
  <c r="AA1002" i="13"/>
  <c r="AA501" i="13"/>
  <c r="AA901" i="13"/>
  <c r="AA800" i="13"/>
  <c r="AA699" i="13"/>
  <c r="AA600" i="13"/>
  <c r="AA400" i="13"/>
  <c r="AA300" i="13"/>
  <c r="AA1103" i="13"/>
  <c r="AA100" i="13"/>
  <c r="H5" i="13"/>
  <c r="A2" i="8" l="1"/>
  <c r="A11" i="13"/>
  <c r="I18" i="13"/>
  <c r="I3" i="13"/>
  <c r="A18" i="13"/>
  <c r="B16" i="13" s="1"/>
  <c r="D19" i="13"/>
  <c r="C19" i="13"/>
  <c r="B19" i="13"/>
  <c r="M19" i="13"/>
  <c r="L19" i="13"/>
  <c r="K19" i="13"/>
  <c r="J19" i="13"/>
  <c r="I19" i="13"/>
  <c r="H19" i="13"/>
  <c r="G19" i="13"/>
  <c r="F19" i="13"/>
  <c r="E19" i="13"/>
  <c r="H9" i="13"/>
  <c r="H13" i="13"/>
  <c r="H12" i="13"/>
  <c r="H11" i="13"/>
  <c r="H10" i="13"/>
  <c r="H8" i="13"/>
  <c r="H7" i="13"/>
  <c r="H6" i="13"/>
  <c r="H14" i="13"/>
  <c r="H3" i="13"/>
  <c r="A2" i="9" l="1"/>
  <c r="J18" i="13"/>
  <c r="A12" i="13"/>
  <c r="A2" i="10" l="1"/>
  <c r="K18" i="13"/>
  <c r="A13" i="13"/>
  <c r="A2" i="11" l="1"/>
  <c r="L18" i="13"/>
  <c r="A14" i="13"/>
  <c r="M18" i="13" l="1"/>
  <c r="A2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<sst xmlns="http://schemas.openxmlformats.org/spreadsheetml/2006/main" count="253" uniqueCount="25">
  <si>
    <t>Danske Bank</t>
  </si>
  <si>
    <t>Date</t>
  </si>
  <si>
    <t>Asset Manager</t>
  </si>
  <si>
    <t>Company</t>
  </si>
  <si>
    <t>Value</t>
  </si>
  <si>
    <t>Lists</t>
  </si>
  <si>
    <t>Jyske Bank</t>
  </si>
  <si>
    <t>UN Blacklist 2025</t>
  </si>
  <si>
    <t>SEB</t>
  </si>
  <si>
    <t>AFSC Divestment List 2025</t>
  </si>
  <si>
    <t>UN Blacklist 2023</t>
  </si>
  <si>
    <t>WhoProfits</t>
  </si>
  <si>
    <t>Summary</t>
  </si>
  <si>
    <t>List</t>
  </si>
  <si>
    <t>Bank</t>
  </si>
  <si>
    <t>Total</t>
  </si>
  <si>
    <t>Blacklist</t>
  </si>
  <si>
    <t>Month</t>
  </si>
  <si>
    <t>Companies</t>
  </si>
  <si>
    <t>Total Invested</t>
  </si>
  <si>
    <t>Number of Companies</t>
  </si>
  <si>
    <t xml:space="preserve">AFSC </t>
  </si>
  <si>
    <t>UN</t>
  </si>
  <si>
    <t>Average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</si>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</sst>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[$kr.-406]_-;\-* #,##0\ [$kr.-406]_-;_-* &quot;-&quot;\ [$kr.-406]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17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" fontId="1" fillId="0" borderId="0" xfId="0" applyNumberFormat="1" applyFont="1"/>
    <xf numFmtId="1" fontId="0" fillId="0" borderId="0" xfId="1" applyNumberFormat="1" applyFont="1"/>
    <xf numFmtId="164" fontId="0" fillId="0" borderId="0" xfId="0" applyNumberFormat="1" applyAlignment="1">
      <alignment horizontal="left"/>
    </xf>
    <xf numFmtId="1" fontId="0" fillId="0" borderId="1" xfId="0" applyNumberFormat="1" applyBorder="1"/>
    <xf numFmtId="0" fontId="5" fillId="0" borderId="0" xfId="0" applyFont="1"/>
    <xf numFmtId="3" fontId="0" fillId="0" borderId="0" xfId="0" applyNumberFormat="1"/>
    <xf numFmtId="0" fontId="6" fillId="0" borderId="0" xfId="0" applyFont="1"/>
    <xf numFmtId="17" fontId="6" fillId="0" borderId="0" xfId="0" applyNumberFormat="1" applyFont="1"/>
    <xf numFmtId="0" fontId="0" fillId="0" borderId="0" xfId="0" applyAlignment="1">
      <alignment horizontal="center"/>
    </xf>
    <xf numFmtId="17" fontId="1" fillId="0" borderId="0" xfId="0" applyNumberFormat="1" applyFont="1"/>
    <xf numFmtId="0" fontId="1" fillId="0" borderId="0" xfId="0" applyFont="1" applyAlignment="1">
      <alignment horizontal="right"/>
    </xf>
    <xf numFmtId="1" fontId="7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5">
    <cellStyle name="Comma" xfId="1" builtinId="3"/>
    <cellStyle name="Comma 2" xfId="3" xr:uid="{20EEBF22-0A77-4A4F-905D-223357069376}"/>
    <cellStyle name="Normal" xfId="0" builtinId="0"/>
    <cellStyle name="Normal 3" xfId="2" xr:uid="{A14095AD-0443-4FE0-9D00-44D89FA372BA}"/>
    <cellStyle name="Normal 3 2" xfId="4" xr:uid="{5828D4F3-C30C-4D52-BFA9-D5C7ED06529A}"/>
  </cellStyles>
  <dxfs count="3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33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0871374197198"/>
          <c:y val="8.8379629629629614E-2"/>
          <c:w val="0.73130554219307797"/>
          <c:h val="0.66475320793234183"/>
        </c:manualLayout>
      </c:layout>
      <c:scatterChart>
        <c:scatterStyle val="lineMarker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Summary'!$B$3:$B$14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A-4023-8F56-4C63A9041CDF}"/>
            </c:ext>
          </c:extLst>
        </c:ser>
        <c:ser>
          <c:idx val="1"/>
          <c:order val="1"/>
          <c:tx>
            <c:strRef>
              <c:f>'2024 Summary'!$D$2</c:f>
              <c:strCache>
                <c:ptCount val="1"/>
                <c:pt idx="0">
                  <c:v>Danske Bank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Summary'!$D$3:$D$14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A-4023-8F56-4C63A9041CDF}"/>
            </c:ext>
          </c:extLst>
        </c:ser>
        <c:ser>
          <c:idx val="2"/>
          <c:order val="2"/>
          <c:tx>
            <c:strRef>
              <c:f>'2024 Summary'!$E$2</c:f>
              <c:strCache>
                <c:ptCount val="1"/>
                <c:pt idx="0">
                  <c:v>Jyske Bank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Summary'!$E$3:$E$14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A-4023-8F56-4C63A9041CDF}"/>
            </c:ext>
          </c:extLst>
        </c:ser>
        <c:ser>
          <c:idx val="3"/>
          <c:order val="3"/>
          <c:tx>
            <c:strRef>
              <c:f>'2024 Summary'!$F$2</c:f>
              <c:strCache>
                <c:ptCount val="1"/>
                <c:pt idx="0">
                  <c:v>SEB</c:v>
                </c:pt>
              </c:strCache>
            </c:strRef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Summary'!$F$3:$F$14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BA-4023-8F56-4C63A904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5455"/>
        <c:axId val="741622095"/>
      </c:scatterChart>
      <c:valAx>
        <c:axId val="74162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Portfolio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2095"/>
        <c:crosses val="autoZero"/>
        <c:crossBetween val="midCat"/>
      </c:valAx>
      <c:valAx>
        <c:axId val="7416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Black</a:t>
                </a:r>
                <a:r>
                  <a:rPr lang="en-GB" baseline="0"/>
                  <a:t>listed Investments (DKK)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5.3676865271068174E-3"/>
              <c:y val="0.17368438320209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\ [$kr.-406]_-;\-* #,##0\ [$kr.-406]_-;_-* &quot;-&quot;\ [$kr.-406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28237587664892"/>
          <c:y val="0.90335593467483233"/>
          <c:w val="0.6850022364567772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97804896574423"/>
          <c:y val="5.7268591426071741E-2"/>
          <c:w val="0.70344962908575337"/>
          <c:h val="0.686049343832020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'2024 Summary'!$G$2</c:f>
              <c:strCache>
                <c:ptCount val="1"/>
                <c:pt idx="0">
                  <c:v>UN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Summary'!$G$3:$G$14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8-4080-AB02-1AF39A89140A}"/>
            </c:ext>
          </c:extLst>
        </c:ser>
        <c:ser>
          <c:idx val="2"/>
          <c:order val="1"/>
          <c:tx>
            <c:strRef>
              <c:f>'2024 Summary'!$H$2</c:f>
              <c:strCache>
                <c:ptCount val="1"/>
                <c:pt idx="0">
                  <c:v>AFSC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Summary'!$H$3:$H$14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48-4080-AB02-1AF39A89140A}"/>
            </c:ext>
          </c:extLst>
        </c:ser>
        <c:ser>
          <c:idx val="3"/>
          <c:order val="2"/>
          <c:tx>
            <c:strRef>
              <c:f>'2024 Summary'!$I$2</c:f>
              <c:strCache>
                <c:ptCount val="1"/>
                <c:pt idx="0">
                  <c:v>WhoProfits</c:v>
                </c:pt>
              </c:strCache>
            </c:strRef>
          </c:tx>
          <c:spPr>
            <a:ln w="190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xVal>
            <c:numRef>
              <c:f>'2024 Summary'!$A$3:$A$14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45354</c:v>
                </c:pt>
                <c:pt idx="3">
                  <c:v>45385</c:v>
                </c:pt>
                <c:pt idx="4">
                  <c:v>45416</c:v>
                </c:pt>
                <c:pt idx="5">
                  <c:v>45447</c:v>
                </c:pt>
                <c:pt idx="6">
                  <c:v>45478</c:v>
                </c:pt>
                <c:pt idx="7">
                  <c:v>45509</c:v>
                </c:pt>
                <c:pt idx="8">
                  <c:v>45540</c:v>
                </c:pt>
                <c:pt idx="9">
                  <c:v>45571</c:v>
                </c:pt>
                <c:pt idx="10">
                  <c:v>45602</c:v>
                </c:pt>
                <c:pt idx="11">
                  <c:v>45633</c:v>
                </c:pt>
              </c:numCache>
            </c:numRef>
          </c:xVal>
          <c:yVal>
            <c:numRef>
              <c:f>'2024 Summary'!$I$3:$I$14</c:f>
              <c:numCache>
                <c:formatCode>_-* #,##0\ [$kr.-406]_-;\-* #,##0\ [$kr.-406]_-;_-* "-"\ [$kr.-406]_-;_-@_-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48-4080-AB02-1AF39A89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5455"/>
        <c:axId val="741622095"/>
      </c:scatterChart>
      <c:valAx>
        <c:axId val="74162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Portfolio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2095"/>
        <c:crosses val="autoZero"/>
        <c:crossBetween val="midCat"/>
      </c:valAx>
      <c:valAx>
        <c:axId val="7416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Black</a:t>
                </a:r>
                <a:r>
                  <a:rPr lang="en-GB" baseline="0"/>
                  <a:t>listed Investments (DKK)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0754898061984677E-2"/>
              <c:y val="9.36843394575678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\ [$kr.-406]_-;\-* #,##0\ [$kr.-406]_-;_-* &quot;-&quot;\ [$kr.-406]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91282882244221"/>
          <c:y val="0.89409667541557303"/>
          <c:w val="0.8747145352811606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108585</xdr:colOff>
      <xdr:row>16</xdr:row>
      <xdr:rowOff>5715</xdr:rowOff>
    </xdr:from>
    <xdr:to>
      <xdr:col>20</xdr:col>
      <xdr:colOff>556260</xdr:colOff>
      <xdr:row>31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D52AA-C930-9EDF-8C76-858E4AE80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85725</xdr:colOff>
      <xdr:row>0</xdr:row>
      <xdr:rowOff>114300</xdr:rowOff>
    </xdr:from>
    <xdr:to>
      <xdr:col>20</xdr:col>
      <xdr:colOff>533400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D7EB9-8F17-4A06-BC65-4C2B31ED7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112B-877D-43F6-930F-9A9DB66F254C}">
  <dimension ref="A1:AB1202"/>
  <sheetViews>
    <sheetView tabSelected="1" workbookViewId="0">
      <selection sqref="A1:A2"/>
    </sheetView>
  </sheetViews>
  <sheetFormatPr defaultRowHeight="15" x14ac:dyDescent="0.25"/>
  <cols>
    <col min="1" max="1" width="17.85546875" customWidth="1"/>
    <col min="2" max="13" width="13.5703125" customWidth="1"/>
    <col min="27" max="27" width="8.85546875" style="13"/>
    <col min="28" max="28" width="9.140625" style="13"/>
  </cols>
  <sheetData>
    <row r="1" spans="1:27" x14ac:dyDescent="0.25">
      <c r="A1" s="20" t="s">
        <v>17</v>
      </c>
      <c r="B1" s="20" t="s">
        <v>19</v>
      </c>
      <c r="C1" s="21" t="s">
        <v>20</v>
      </c>
      <c r="D1" s="20" t="s">
        <v>2</v>
      </c>
      <c r="E1" s="20"/>
      <c r="F1" s="20"/>
      <c r="G1" s="20" t="s">
        <v>16</v>
      </c>
      <c r="H1" s="20"/>
      <c r="I1" s="20"/>
    </row>
    <row r="2" spans="1:27" x14ac:dyDescent="0.25">
      <c r="A2" s="20"/>
      <c r="B2" s="20"/>
      <c r="C2" s="21"/>
      <c r="D2" s="15" t="s">
        <v>0</v>
      </c>
      <c r="E2" s="15" t="s">
        <v>6</v>
      </c>
      <c r="F2" s="15" t="s">
        <v>8</v>
      </c>
      <c r="G2" s="15" t="s">
        <v>22</v>
      </c>
      <c r="H2" s="15" t="s">
        <v>21</v>
      </c>
      <c r="I2" s="15" t="s">
        <v>11</v>
      </c>
    </row>
    <row r="3" spans="1:27" x14ac:dyDescent="0.25">
      <c r="A3" s="1">
        <v>45292</v>
      </c>
      <c r="B3" s="5">
        <f>Jan!N13</f>
        <v>0</v>
      </c>
      <c r="C3" s="4">
        <f>COUNTIF(Jan!G2:G150,"*")</f>
        <v>0</v>
      </c>
      <c r="D3" s="5">
        <f>Jan!O8</f>
        <v>0</v>
      </c>
      <c r="E3" s="5">
        <f>Jan!O9</f>
        <v>0</v>
      </c>
      <c r="F3" s="5">
        <f>Jan!O10</f>
        <v>0</v>
      </c>
      <c r="G3" s="5">
        <f>Jan!O3</f>
        <v>0</v>
      </c>
      <c r="H3" s="5">
        <f ca="1">Jan!O4</f>
        <v>0</v>
      </c>
      <c r="I3" s="5">
        <f>Jan!O5</f>
        <v>0</v>
      </c>
      <c r="AA3" s="13">
        <f>Jan!G2</f>
        <v>0</v>
      </c>
    </row>
    <row r="4" spans="1:27" x14ac:dyDescent="0.25">
      <c r="A4" s="1">
        <f>A3+31</f>
        <v>45323</v>
      </c>
      <c r="B4" s="5">
        <f>Feb!N13</f>
        <v>0</v>
      </c>
      <c r="C4" s="4">
        <f>COUNTIF(Feb!G2:G150,"*")</f>
        <v>0</v>
      </c>
      <c r="D4" s="5">
        <f>Feb!O8</f>
        <v>0</v>
      </c>
      <c r="E4" s="5">
        <f>Feb!O9</f>
        <v>0</v>
      </c>
      <c r="F4" s="5">
        <f>Feb!O10</f>
        <v>0</v>
      </c>
      <c r="G4" s="5">
        <f>Feb!O3</f>
        <v>0</v>
      </c>
      <c r="H4" s="5">
        <f ca="1">Feb!O4</f>
        <v>0</v>
      </c>
      <c r="I4" s="5">
        <f>Feb!O5</f>
        <v>0</v>
      </c>
      <c r="AA4" s="13">
        <f>Jan!G3</f>
        <v>0</v>
      </c>
    </row>
    <row r="5" spans="1:27" x14ac:dyDescent="0.25">
      <c r="A5" s="1">
        <f t="shared" ref="A5:A14" si="0">A4+31</f>
        <v>45354</v>
      </c>
      <c r="B5" s="5">
        <f>Mar!N13</f>
        <v>0</v>
      </c>
      <c r="C5" s="4">
        <f>COUNTIF(Mar!G2:G150,"*")</f>
        <v>0</v>
      </c>
      <c r="D5" s="5">
        <f>Mar!O8</f>
        <v>0</v>
      </c>
      <c r="E5" s="5">
        <f>Mar!O9</f>
        <v>0</v>
      </c>
      <c r="F5" s="5">
        <f>Mar!O10</f>
        <v>0</v>
      </c>
      <c r="G5" s="5">
        <f>Mar!O3</f>
        <v>0</v>
      </c>
      <c r="H5" s="5">
        <f ca="1">Mar!O4</f>
        <v>0</v>
      </c>
      <c r="I5" s="5">
        <f>Mar!O5</f>
        <v>0</v>
      </c>
      <c r="AA5" s="13">
        <f>Jan!G4</f>
        <v>0</v>
      </c>
    </row>
    <row r="6" spans="1:27" x14ac:dyDescent="0.25">
      <c r="A6" s="1">
        <f t="shared" si="0"/>
        <v>45385</v>
      </c>
      <c r="B6" s="5">
        <f>Apr!N13</f>
        <v>0</v>
      </c>
      <c r="C6" s="4">
        <f>COUNTIF(Apr!G2:G150,"*")</f>
        <v>0</v>
      </c>
      <c r="D6" s="5">
        <f>Apr!O8</f>
        <v>0</v>
      </c>
      <c r="E6" s="5">
        <f>Apr!O9</f>
        <v>0</v>
      </c>
      <c r="F6" s="5">
        <f>Apr!O10</f>
        <v>0</v>
      </c>
      <c r="G6" s="5">
        <f>Apr!O3</f>
        <v>0</v>
      </c>
      <c r="H6" s="5">
        <f ca="1">Apr!O4</f>
        <v>0</v>
      </c>
      <c r="I6" s="5">
        <f>Apr!O5</f>
        <v>0</v>
      </c>
      <c r="AA6" s="13">
        <f>Jan!G5</f>
        <v>0</v>
      </c>
    </row>
    <row r="7" spans="1:27" x14ac:dyDescent="0.25">
      <c r="A7" s="1">
        <f t="shared" si="0"/>
        <v>45416</v>
      </c>
      <c r="B7" s="5">
        <f>May!N13</f>
        <v>0</v>
      </c>
      <c r="C7" s="4">
        <f>COUNTIF(May!G2:G150,"*")</f>
        <v>0</v>
      </c>
      <c r="D7" s="5">
        <f>May!O8</f>
        <v>0</v>
      </c>
      <c r="E7" s="5">
        <f>May!O9</f>
        <v>0</v>
      </c>
      <c r="F7" s="5">
        <f>May!O10</f>
        <v>0</v>
      </c>
      <c r="G7" s="5">
        <f>May!O3</f>
        <v>0</v>
      </c>
      <c r="H7" s="5">
        <f ca="1">May!O4</f>
        <v>0</v>
      </c>
      <c r="I7" s="5">
        <f>May!O5</f>
        <v>0</v>
      </c>
      <c r="AA7" s="13">
        <f>Jan!G6</f>
        <v>0</v>
      </c>
    </row>
    <row r="8" spans="1:27" x14ac:dyDescent="0.25">
      <c r="A8" s="1">
        <f t="shared" si="0"/>
        <v>45447</v>
      </c>
      <c r="B8" s="5">
        <f>Jun!N13</f>
        <v>0</v>
      </c>
      <c r="C8" s="4">
        <f>COUNTIF(Jun!G2:G150,"*")</f>
        <v>0</v>
      </c>
      <c r="D8" s="5">
        <f>Jun!O8</f>
        <v>0</v>
      </c>
      <c r="E8" s="5">
        <f>Jun!O9</f>
        <v>0</v>
      </c>
      <c r="F8" s="5">
        <f>Jun!O10</f>
        <v>0</v>
      </c>
      <c r="G8" s="5">
        <f>Jun!O3</f>
        <v>0</v>
      </c>
      <c r="H8" s="5">
        <f ca="1">Jun!O4</f>
        <v>0</v>
      </c>
      <c r="I8" s="5">
        <f>Jun!O5</f>
        <v>0</v>
      </c>
      <c r="AA8" s="13">
        <f>Jan!G7</f>
        <v>0</v>
      </c>
    </row>
    <row r="9" spans="1:27" x14ac:dyDescent="0.25">
      <c r="A9" s="1">
        <f t="shared" si="0"/>
        <v>45478</v>
      </c>
      <c r="B9" s="5">
        <f>Jul!N13</f>
        <v>0</v>
      </c>
      <c r="C9" s="4">
        <f>COUNTIF(Jul!G2:G150,"*")</f>
        <v>0</v>
      </c>
      <c r="D9" s="5">
        <f>Jul!O8</f>
        <v>0</v>
      </c>
      <c r="E9" s="5">
        <f>Jul!O9</f>
        <v>0</v>
      </c>
      <c r="F9" s="5">
        <f>Jul!O10</f>
        <v>0</v>
      </c>
      <c r="G9" s="5">
        <f>Jul!O3</f>
        <v>0</v>
      </c>
      <c r="H9" s="5">
        <f ca="1">Jul!O4</f>
        <v>0</v>
      </c>
      <c r="I9" s="5">
        <f>Jul!O5</f>
        <v>0</v>
      </c>
      <c r="AA9" s="13">
        <f>Jan!G8</f>
        <v>0</v>
      </c>
    </row>
    <row r="10" spans="1:27" x14ac:dyDescent="0.25">
      <c r="A10" s="1">
        <f t="shared" si="0"/>
        <v>45509</v>
      </c>
      <c r="B10" s="5">
        <f>Aug!N13</f>
        <v>0</v>
      </c>
      <c r="C10" s="4">
        <f>COUNTIF(Aug!G2:G150,"*")</f>
        <v>0</v>
      </c>
      <c r="D10" s="5">
        <f>Aug!O8</f>
        <v>0</v>
      </c>
      <c r="E10" s="5">
        <f>Aug!O9</f>
        <v>0</v>
      </c>
      <c r="F10" s="5">
        <f>Aug!O10</f>
        <v>0</v>
      </c>
      <c r="G10" s="5">
        <f>Aug!O3</f>
        <v>0</v>
      </c>
      <c r="H10" s="5">
        <f ca="1">Aug!O4</f>
        <v>0</v>
      </c>
      <c r="I10" s="5">
        <f>Aug!O5</f>
        <v>0</v>
      </c>
      <c r="AA10" s="13">
        <f>Jan!G9</f>
        <v>0</v>
      </c>
    </row>
    <row r="11" spans="1:27" x14ac:dyDescent="0.25">
      <c r="A11" s="1">
        <f t="shared" si="0"/>
        <v>45540</v>
      </c>
      <c r="B11" s="5">
        <f>Sep!N13</f>
        <v>0</v>
      </c>
      <c r="C11" s="4">
        <f>COUNTIF(Sep!G2:G150,"*")</f>
        <v>0</v>
      </c>
      <c r="D11" s="5">
        <f>Sep!O8</f>
        <v>0</v>
      </c>
      <c r="E11" s="5">
        <f>Sep!O9</f>
        <v>0</v>
      </c>
      <c r="F11" s="5">
        <f>Sep!O10</f>
        <v>0</v>
      </c>
      <c r="G11" s="5">
        <f>Sep!O3</f>
        <v>0</v>
      </c>
      <c r="H11" s="5">
        <f ca="1">Sep!O4</f>
        <v>0</v>
      </c>
      <c r="I11" s="5">
        <f>Sep!O5</f>
        <v>0</v>
      </c>
      <c r="AA11" s="13">
        <f>Jan!G10</f>
        <v>0</v>
      </c>
    </row>
    <row r="12" spans="1:27" x14ac:dyDescent="0.25">
      <c r="A12" s="1">
        <f t="shared" si="0"/>
        <v>45571</v>
      </c>
      <c r="B12" s="5">
        <f>Oct!N13</f>
        <v>0</v>
      </c>
      <c r="C12" s="4">
        <f>COUNTIF(Oct!G2:G150,"*")</f>
        <v>0</v>
      </c>
      <c r="D12" s="5">
        <f>Oct!O8</f>
        <v>0</v>
      </c>
      <c r="E12" s="5">
        <f>Oct!O9</f>
        <v>0</v>
      </c>
      <c r="F12" s="5">
        <f>Oct!O10</f>
        <v>0</v>
      </c>
      <c r="G12" s="5">
        <f>Oct!O3</f>
        <v>0</v>
      </c>
      <c r="H12" s="5">
        <f ca="1">Oct!O4</f>
        <v>0</v>
      </c>
      <c r="I12" s="5">
        <f>Oct!O5</f>
        <v>0</v>
      </c>
      <c r="AA12" s="13">
        <f>Jan!G11</f>
        <v>0</v>
      </c>
    </row>
    <row r="13" spans="1:27" x14ac:dyDescent="0.25">
      <c r="A13" s="1">
        <f t="shared" si="0"/>
        <v>45602</v>
      </c>
      <c r="B13" s="5">
        <f>Nov!N13</f>
        <v>0</v>
      </c>
      <c r="C13" s="4">
        <f>COUNTIF(Nov!G2:G150,"*")</f>
        <v>0</v>
      </c>
      <c r="D13" s="5">
        <f>Nov!O8</f>
        <v>0</v>
      </c>
      <c r="E13" s="5">
        <f>Nov!O9</f>
        <v>0</v>
      </c>
      <c r="F13" s="5">
        <f>Nov!O10</f>
        <v>0</v>
      </c>
      <c r="G13" s="5">
        <f>Nov!O3</f>
        <v>0</v>
      </c>
      <c r="H13" s="5">
        <f ca="1">Nov!O4</f>
        <v>0</v>
      </c>
      <c r="I13" s="5">
        <f>Nov!O5</f>
        <v>0</v>
      </c>
      <c r="AA13" s="13">
        <f>Jan!G12</f>
        <v>0</v>
      </c>
    </row>
    <row r="14" spans="1:27" x14ac:dyDescent="0.25">
      <c r="A14" s="1">
        <f t="shared" si="0"/>
        <v>45633</v>
      </c>
      <c r="B14" s="5">
        <f>Dec!N13</f>
        <v>0</v>
      </c>
      <c r="C14" s="4">
        <f>COUNTIF(Dec!G2:G150,"*")</f>
        <v>0</v>
      </c>
      <c r="D14" s="5">
        <f>Dec!O8</f>
        <v>0</v>
      </c>
      <c r="E14" s="5">
        <f>Dec!O9</f>
        <v>0</v>
      </c>
      <c r="F14" s="5">
        <f>Dec!O10</f>
        <v>0</v>
      </c>
      <c r="G14" s="5">
        <f>Dec!O3</f>
        <v>0</v>
      </c>
      <c r="H14" s="5">
        <f ca="1">Dec!O4</f>
        <v>0</v>
      </c>
      <c r="I14" s="5">
        <f>Dec!O5</f>
        <v>0</v>
      </c>
      <c r="AA14" s="13">
        <f>Jan!G13</f>
        <v>0</v>
      </c>
    </row>
    <row r="15" spans="1:27" x14ac:dyDescent="0.25">
      <c r="A15" s="17" t="s">
        <v>23</v>
      </c>
      <c r="B15" s="5" t="e">
        <f>SUM(B3:B14)/COUNTIF(B3:B14,"&gt;0")</f>
        <v>#DIV/0!</v>
      </c>
      <c r="AA15" s="13">
        <f>Jan!G14</f>
        <v>0</v>
      </c>
    </row>
    <row r="16" spans="1:27" x14ac:dyDescent="0.25">
      <c r="A16" s="17" t="s">
        <v>18</v>
      </c>
      <c r="B16" s="7">
        <f>COUNTIF(A18:A1000,"*")</f>
        <v>0</v>
      </c>
      <c r="C16" s="19"/>
      <c r="AA16" s="13">
        <f>Jan!G15</f>
        <v>0</v>
      </c>
    </row>
    <row r="17" spans="1:27" x14ac:dyDescent="0.25">
      <c r="AA17" s="13">
        <f>Jan!G16</f>
        <v>0</v>
      </c>
    </row>
    <row r="18" spans="1:27" x14ac:dyDescent="0.25">
      <c r="A18" s="14" cm="1">
        <f t="array" ref="A18:A19">_xlfn._xlws.SORT(_xlfn.UNIQUE(AA:AA))</f>
        <v>0</v>
      </c>
      <c r="B18" s="16">
        <f>A3</f>
        <v>45292</v>
      </c>
      <c r="C18" s="16">
        <f>A4</f>
        <v>45323</v>
      </c>
      <c r="D18" s="16">
        <f>A5</f>
        <v>45354</v>
      </c>
      <c r="E18" s="16">
        <f>A6</f>
        <v>45385</v>
      </c>
      <c r="F18" s="16">
        <f>A7</f>
        <v>45416</v>
      </c>
      <c r="G18" s="16">
        <f>A8</f>
        <v>45447</v>
      </c>
      <c r="H18" s="16">
        <f>A9</f>
        <v>45478</v>
      </c>
      <c r="I18" s="16">
        <f>A10</f>
        <v>45509</v>
      </c>
      <c r="J18" s="16">
        <f>A11</f>
        <v>45540</v>
      </c>
      <c r="K18" s="16">
        <f>A12</f>
        <v>45571</v>
      </c>
      <c r="L18" s="16">
        <f>A13</f>
        <v>45602</v>
      </c>
      <c r="M18" s="16">
        <f>A14</f>
        <v>45633</v>
      </c>
      <c r="N18" s="1"/>
      <c r="O18" s="1"/>
      <c r="P18" s="1"/>
      <c r="AA18" s="13">
        <f>Jan!G17</f>
        <v>0</v>
      </c>
    </row>
    <row r="19" spans="1:27" x14ac:dyDescent="0.25">
      <c r="A19">
        <v>0</v>
      </c>
      <c r="B19" s="5">
        <f>SUMIF(Jan!$G$2:$G$1000,'2024 Summary'!A19,Jan!$H$2:$H$1000)</f>
        <v>0</v>
      </c>
      <c r="C19" s="5">
        <f>SUMIF(Feb!$G$2:$G$1000,'2024 Summary'!A19,Feb!$H$2:$H$1000)</f>
        <v>0</v>
      </c>
      <c r="D19" s="5">
        <f>SUMIF(Mar!$G$2:$G$1000,'2024 Summary'!A19,Mar!$H$2:$H$1000)</f>
        <v>0</v>
      </c>
      <c r="E19" s="5">
        <f>SUMIF(Apr!$G$2:$G$1000,'2024 Summary'!A19,Apr!$H$2:$H$1000)</f>
        <v>0</v>
      </c>
      <c r="F19" s="5">
        <f>SUMIF(May!$G$2:$G$1000,'2024 Summary'!A19,May!$H$2:$H$1000)</f>
        <v>0</v>
      </c>
      <c r="G19" s="5">
        <f>SUMIF(Jun!$G$2:$G$1000,'2024 Summary'!A19,Jun!$H$2:$H$1000)</f>
        <v>0</v>
      </c>
      <c r="H19" s="5">
        <f>SUMIF(Jul!$G$2:$G$1000,'2024 Summary'!A19,Jul!$H$2:$H$1000)</f>
        <v>0</v>
      </c>
      <c r="I19" s="5">
        <f>SUMIF(Aug!$G$2:$G$1000,'2024 Summary'!A19,Aug!$H$2:$H$1000)</f>
        <v>0</v>
      </c>
      <c r="J19" s="5">
        <f>SUMIF(Sep!$G$2:$G$1000,'2024 Summary'!A19,Sep!$H$2:$H$1000)</f>
        <v>0</v>
      </c>
      <c r="K19" s="5">
        <f>SUMIF(Oct!$G$2:$G$1000,'2024 Summary'!A19,Oct!$H$2:$H$1000)</f>
        <v>0</v>
      </c>
      <c r="L19" s="5">
        <f>SUMIF(Nov!$G$2:$G$1000,'2024 Summary'!A19,Nov!$H$2:$H$1000)</f>
        <v>0</v>
      </c>
      <c r="M19" s="5">
        <f>SUMIF(Dec!$G$2:$G$1000,'2024 Summary'!A19,Dec!$H$2:$H$1000)</f>
        <v>0</v>
      </c>
      <c r="AA19" s="13">
        <f>Jan!G18</f>
        <v>0</v>
      </c>
    </row>
    <row r="20" spans="1:27" x14ac:dyDescent="0.25">
      <c r="B20" s="5">
        <f>SUMIF(Jan!$G$2:$G$1000,'2024 Summary'!A20,Jan!$H$2:$H$1000)</f>
        <v>0</v>
      </c>
      <c r="C20" s="5">
        <f>SUMIF(Feb!$G$2:$G$1000,'2024 Summary'!A20,Feb!$H$2:$H$1000)</f>
        <v>0</v>
      </c>
      <c r="D20" s="5">
        <f>SUMIF(Mar!$G$2:$G$1000,'2024 Summary'!A20,Mar!$H$2:$H$1000)</f>
        <v>0</v>
      </c>
      <c r="E20" s="5">
        <f>SUMIF(Apr!$G$2:$G$1000,'2024 Summary'!A20,Apr!$H$2:$H$1000)</f>
        <v>0</v>
      </c>
      <c r="F20" s="5">
        <f>SUMIF(May!$G$2:$G$1000,'2024 Summary'!A20,May!$H$2:$H$1000)</f>
        <v>0</v>
      </c>
      <c r="G20" s="5">
        <f>SUMIF(Jun!$G$2:$G$1000,'2024 Summary'!A20,Jun!$H$2:$H$1000)</f>
        <v>0</v>
      </c>
      <c r="H20" s="5">
        <f>SUMIF(Jul!$G$2:$G$1000,'2024 Summary'!A20,Jul!$H$2:$H$1000)</f>
        <v>0</v>
      </c>
      <c r="I20" s="5">
        <f>SUMIF(Aug!$G$2:$G$1000,'2024 Summary'!A20,Aug!$H$2:$H$1000)</f>
        <v>0</v>
      </c>
      <c r="J20" s="5">
        <f>SUMIF(Sep!$G$2:$G$1000,'2024 Summary'!A20,Sep!$H$2:$H$1000)</f>
        <v>0</v>
      </c>
      <c r="K20" s="5">
        <f>SUMIF(Oct!$G$2:$G$1000,'2024 Summary'!A20,Oct!$H$2:$H$1000)</f>
        <v>0</v>
      </c>
      <c r="L20" s="5">
        <f>SUMIF(Nov!$G$2:$G$1000,'2024 Summary'!A20,Nov!$H$2:$H$1000)</f>
        <v>0</v>
      </c>
      <c r="M20" s="5">
        <f>SUMIF(Dec!$G$2:$G$1000,'2024 Summary'!A20,Dec!$H$2:$H$1000)</f>
        <v>0</v>
      </c>
      <c r="AA20" s="13">
        <f>Jan!G19</f>
        <v>0</v>
      </c>
    </row>
    <row r="21" spans="1:27" x14ac:dyDescent="0.25">
      <c r="B21" s="5">
        <f>SUMIF(Jan!$G$2:$G$1000,'2024 Summary'!A21,Jan!$H$2:$H$1000)</f>
        <v>0</v>
      </c>
      <c r="C21" s="5">
        <f>SUMIF(Feb!$G$2:$G$1000,'2024 Summary'!A21,Feb!$H$2:$H$1000)</f>
        <v>0</v>
      </c>
      <c r="D21" s="5">
        <f>SUMIF(Mar!$G$2:$G$1000,'2024 Summary'!A21,Mar!$H$2:$H$1000)</f>
        <v>0</v>
      </c>
      <c r="E21" s="5">
        <f>SUMIF(Apr!$G$2:$G$1000,'2024 Summary'!A21,Apr!$H$2:$H$1000)</f>
        <v>0</v>
      </c>
      <c r="F21" s="5">
        <f>SUMIF(May!$G$2:$G$1000,'2024 Summary'!A21,May!$H$2:$H$1000)</f>
        <v>0</v>
      </c>
      <c r="G21" s="5">
        <f>SUMIF(Jun!$G$2:$G$1000,'2024 Summary'!A21,Jun!$H$2:$H$1000)</f>
        <v>0</v>
      </c>
      <c r="H21" s="5">
        <f>SUMIF(Jul!$G$2:$G$1000,'2024 Summary'!A21,Jul!$H$2:$H$1000)</f>
        <v>0</v>
      </c>
      <c r="I21" s="5">
        <f>SUMIF(Aug!$G$2:$G$1000,'2024 Summary'!A21,Aug!$H$2:$H$1000)</f>
        <v>0</v>
      </c>
      <c r="J21" s="5">
        <f>SUMIF(Sep!$G$2:$G$1000,'2024 Summary'!A21,Sep!$H$2:$H$1000)</f>
        <v>0</v>
      </c>
      <c r="K21" s="5">
        <f>SUMIF(Oct!$G$2:$G$1000,'2024 Summary'!A21,Oct!$H$2:$H$1000)</f>
        <v>0</v>
      </c>
      <c r="L21" s="5">
        <f>SUMIF(Nov!$G$2:$G$1000,'2024 Summary'!A21,Nov!$H$2:$H$1000)</f>
        <v>0</v>
      </c>
      <c r="M21" s="5">
        <f>SUMIF(Dec!$G$2:$G$1000,'2024 Summary'!A21,Dec!$H$2:$H$1000)</f>
        <v>0</v>
      </c>
      <c r="AA21" s="13">
        <f>Jan!G20</f>
        <v>0</v>
      </c>
    </row>
    <row r="22" spans="1:27" x14ac:dyDescent="0.25">
      <c r="B22" s="5">
        <f>SUMIF(Jan!$G$2:$G$1000,'2024 Summary'!A22,Jan!$H$2:$H$1000)</f>
        <v>0</v>
      </c>
      <c r="C22" s="5">
        <f>SUMIF(Feb!$G$2:$G$1000,'2024 Summary'!A22,Feb!$H$2:$H$1000)</f>
        <v>0</v>
      </c>
      <c r="D22" s="5">
        <f>SUMIF(Mar!$G$2:$G$1000,'2024 Summary'!A22,Mar!$H$2:$H$1000)</f>
        <v>0</v>
      </c>
      <c r="E22" s="5">
        <f>SUMIF(Apr!$G$2:$G$1000,'2024 Summary'!A22,Apr!$H$2:$H$1000)</f>
        <v>0</v>
      </c>
      <c r="F22" s="5">
        <f>SUMIF(May!$G$2:$G$1000,'2024 Summary'!A22,May!$H$2:$H$1000)</f>
        <v>0</v>
      </c>
      <c r="G22" s="5">
        <f>SUMIF(Jun!$G$2:$G$1000,'2024 Summary'!A22,Jun!$H$2:$H$1000)</f>
        <v>0</v>
      </c>
      <c r="H22" s="5">
        <f>SUMIF(Jul!$G$2:$G$1000,'2024 Summary'!A22,Jul!$H$2:$H$1000)</f>
        <v>0</v>
      </c>
      <c r="I22" s="5">
        <f>SUMIF(Aug!$G$2:$G$1000,'2024 Summary'!A22,Aug!$H$2:$H$1000)</f>
        <v>0</v>
      </c>
      <c r="J22" s="5">
        <f>SUMIF(Sep!$G$2:$G$1000,'2024 Summary'!A22,Sep!$H$2:$H$1000)</f>
        <v>0</v>
      </c>
      <c r="K22" s="5">
        <f>SUMIF(Oct!$G$2:$G$1000,'2024 Summary'!A22,Oct!$H$2:$H$1000)</f>
        <v>0</v>
      </c>
      <c r="L22" s="5">
        <f>SUMIF(Nov!$G$2:$G$1000,'2024 Summary'!A22,Nov!$H$2:$H$1000)</f>
        <v>0</v>
      </c>
      <c r="M22" s="5">
        <f>SUMIF(Dec!$G$2:$G$1000,'2024 Summary'!A22,Dec!$H$2:$H$1000)</f>
        <v>0</v>
      </c>
      <c r="AA22" s="13">
        <f>Jan!G21</f>
        <v>0</v>
      </c>
    </row>
    <row r="23" spans="1:27" x14ac:dyDescent="0.25">
      <c r="B23" s="5">
        <f>SUMIF(Jan!$G$2:$G$1000,'2024 Summary'!A23,Jan!$H$2:$H$1000)</f>
        <v>0</v>
      </c>
      <c r="C23" s="5">
        <f>SUMIF(Feb!$G$2:$G$1000,'2024 Summary'!A23,Feb!$H$2:$H$1000)</f>
        <v>0</v>
      </c>
      <c r="D23" s="5">
        <f>SUMIF(Mar!$G$2:$G$1000,'2024 Summary'!A23,Mar!$H$2:$H$1000)</f>
        <v>0</v>
      </c>
      <c r="E23" s="5">
        <f>SUMIF(Apr!$G$2:$G$1000,'2024 Summary'!A23,Apr!$H$2:$H$1000)</f>
        <v>0</v>
      </c>
      <c r="F23" s="5">
        <f>SUMIF(May!$G$2:$G$1000,'2024 Summary'!A23,May!$H$2:$H$1000)</f>
        <v>0</v>
      </c>
      <c r="G23" s="5">
        <f>SUMIF(Jun!$G$2:$G$1000,'2024 Summary'!A23,Jun!$H$2:$H$1000)</f>
        <v>0</v>
      </c>
      <c r="H23" s="5">
        <f>SUMIF(Jul!$G$2:$G$1000,'2024 Summary'!A23,Jul!$H$2:$H$1000)</f>
        <v>0</v>
      </c>
      <c r="I23" s="5">
        <f>SUMIF(Aug!$G$2:$G$1000,'2024 Summary'!A23,Aug!$H$2:$H$1000)</f>
        <v>0</v>
      </c>
      <c r="J23" s="5">
        <f>SUMIF(Sep!$G$2:$G$1000,'2024 Summary'!A23,Sep!$H$2:$H$1000)</f>
        <v>0</v>
      </c>
      <c r="K23" s="5">
        <f>SUMIF(Oct!$G$2:$G$1000,'2024 Summary'!A23,Oct!$H$2:$H$1000)</f>
        <v>0</v>
      </c>
      <c r="L23" s="5">
        <f>SUMIF(Nov!$G$2:$G$1000,'2024 Summary'!A23,Nov!$H$2:$H$1000)</f>
        <v>0</v>
      </c>
      <c r="M23" s="5">
        <f>SUMIF(Dec!$G$2:$G$1000,'2024 Summary'!A23,Dec!$H$2:$H$1000)</f>
        <v>0</v>
      </c>
      <c r="AA23" s="13">
        <f>Jan!G22</f>
        <v>0</v>
      </c>
    </row>
    <row r="24" spans="1:27" x14ac:dyDescent="0.25">
      <c r="B24" s="5">
        <f>SUMIF(Jan!$G$2:$G$1000,'2024 Summary'!A24,Jan!$H$2:$H$1000)</f>
        <v>0</v>
      </c>
      <c r="C24" s="5">
        <f>SUMIF(Feb!$G$2:$G$1000,'2024 Summary'!A24,Feb!$H$2:$H$1000)</f>
        <v>0</v>
      </c>
      <c r="D24" s="5">
        <f>SUMIF(Mar!$G$2:$G$1000,'2024 Summary'!A24,Mar!$H$2:$H$1000)</f>
        <v>0</v>
      </c>
      <c r="E24" s="5">
        <f>SUMIF(Apr!$G$2:$G$1000,'2024 Summary'!A24,Apr!$H$2:$H$1000)</f>
        <v>0</v>
      </c>
      <c r="F24" s="5">
        <f>SUMIF(May!$G$2:$G$1000,'2024 Summary'!A24,May!$H$2:$H$1000)</f>
        <v>0</v>
      </c>
      <c r="G24" s="5">
        <f>SUMIF(Jun!$G$2:$G$1000,'2024 Summary'!A24,Jun!$H$2:$H$1000)</f>
        <v>0</v>
      </c>
      <c r="H24" s="5">
        <f>SUMIF(Jul!$G$2:$G$1000,'2024 Summary'!A24,Jul!$H$2:$H$1000)</f>
        <v>0</v>
      </c>
      <c r="I24" s="5">
        <f>SUMIF(Aug!$G$2:$G$1000,'2024 Summary'!A24,Aug!$H$2:$H$1000)</f>
        <v>0</v>
      </c>
      <c r="J24" s="5">
        <f>SUMIF(Sep!$G$2:$G$1000,'2024 Summary'!A24,Sep!$H$2:$H$1000)</f>
        <v>0</v>
      </c>
      <c r="K24" s="5">
        <f>SUMIF(Oct!$G$2:$G$1000,'2024 Summary'!A24,Oct!$H$2:$H$1000)</f>
        <v>0</v>
      </c>
      <c r="L24" s="5">
        <f>SUMIF(Nov!$G$2:$G$1000,'2024 Summary'!A24,Nov!$H$2:$H$1000)</f>
        <v>0</v>
      </c>
      <c r="M24" s="5">
        <f>SUMIF(Dec!$G$2:$G$1000,'2024 Summary'!A24,Dec!$H$2:$H$1000)</f>
        <v>0</v>
      </c>
      <c r="AA24" s="13">
        <f>Jan!G23</f>
        <v>0</v>
      </c>
    </row>
    <row r="25" spans="1:27" x14ac:dyDescent="0.25">
      <c r="B25" s="5">
        <f>SUMIF(Jan!$G$2:$G$1000,'2024 Summary'!A25,Jan!$H$2:$H$1000)</f>
        <v>0</v>
      </c>
      <c r="C25" s="5">
        <f>SUMIF(Feb!$G$2:$G$1000,'2024 Summary'!A25,Feb!$H$2:$H$1000)</f>
        <v>0</v>
      </c>
      <c r="D25" s="5">
        <f>SUMIF(Mar!$G$2:$G$1000,'2024 Summary'!A25,Mar!$H$2:$H$1000)</f>
        <v>0</v>
      </c>
      <c r="E25" s="5">
        <f>SUMIF(Apr!$G$2:$G$1000,'2024 Summary'!A25,Apr!$H$2:$H$1000)</f>
        <v>0</v>
      </c>
      <c r="F25" s="5">
        <f>SUMIF(May!$G$2:$G$1000,'2024 Summary'!A25,May!$H$2:$H$1000)</f>
        <v>0</v>
      </c>
      <c r="G25" s="5">
        <f>SUMIF(Jun!$G$2:$G$1000,'2024 Summary'!A25,Jun!$H$2:$H$1000)</f>
        <v>0</v>
      </c>
      <c r="H25" s="5">
        <f>SUMIF(Jul!$G$2:$G$1000,'2024 Summary'!A25,Jul!$H$2:$H$1000)</f>
        <v>0</v>
      </c>
      <c r="I25" s="5">
        <f>SUMIF(Aug!$G$2:$G$1000,'2024 Summary'!A25,Aug!$H$2:$H$1000)</f>
        <v>0</v>
      </c>
      <c r="J25" s="5">
        <f>SUMIF(Sep!$G$2:$G$1000,'2024 Summary'!A25,Sep!$H$2:$H$1000)</f>
        <v>0</v>
      </c>
      <c r="K25" s="5">
        <f>SUMIF(Oct!$G$2:$G$1000,'2024 Summary'!A25,Oct!$H$2:$H$1000)</f>
        <v>0</v>
      </c>
      <c r="L25" s="5">
        <f>SUMIF(Nov!$G$2:$G$1000,'2024 Summary'!A25,Nov!$H$2:$H$1000)</f>
        <v>0</v>
      </c>
      <c r="M25" s="5">
        <f>SUMIF(Dec!$G$2:$G$1000,'2024 Summary'!A25,Dec!$H$2:$H$1000)</f>
        <v>0</v>
      </c>
      <c r="AA25" s="13">
        <f>Jan!G24</f>
        <v>0</v>
      </c>
    </row>
    <row r="26" spans="1:27" x14ac:dyDescent="0.25">
      <c r="B26" s="5">
        <f>SUMIF(Jan!$G$2:$G$1000,'2024 Summary'!A26,Jan!$H$2:$H$1000)</f>
        <v>0</v>
      </c>
      <c r="C26" s="5">
        <f>SUMIF(Feb!$G$2:$G$1000,'2024 Summary'!A26,Feb!$H$2:$H$1000)</f>
        <v>0</v>
      </c>
      <c r="D26" s="5">
        <f>SUMIF(Mar!$G$2:$G$1000,'2024 Summary'!A26,Mar!$H$2:$H$1000)</f>
        <v>0</v>
      </c>
      <c r="E26" s="5">
        <f>SUMIF(Apr!$G$2:$G$1000,'2024 Summary'!A26,Apr!$H$2:$H$1000)</f>
        <v>0</v>
      </c>
      <c r="F26" s="5">
        <f>SUMIF(May!$G$2:$G$1000,'2024 Summary'!A26,May!$H$2:$H$1000)</f>
        <v>0</v>
      </c>
      <c r="G26" s="5">
        <f>SUMIF(Jun!$G$2:$G$1000,'2024 Summary'!A26,Jun!$H$2:$H$1000)</f>
        <v>0</v>
      </c>
      <c r="H26" s="5">
        <f>SUMIF(Jul!$G$2:$G$1000,'2024 Summary'!A26,Jul!$H$2:$H$1000)</f>
        <v>0</v>
      </c>
      <c r="I26" s="5">
        <f>SUMIF(Aug!$G$2:$G$1000,'2024 Summary'!A26,Aug!$H$2:$H$1000)</f>
        <v>0</v>
      </c>
      <c r="J26" s="5">
        <f>SUMIF(Sep!$G$2:$G$1000,'2024 Summary'!A26,Sep!$H$2:$H$1000)</f>
        <v>0</v>
      </c>
      <c r="K26" s="5">
        <f>SUMIF(Oct!$G$2:$G$1000,'2024 Summary'!A26,Oct!$H$2:$H$1000)</f>
        <v>0</v>
      </c>
      <c r="L26" s="5">
        <f>SUMIF(Nov!$G$2:$G$1000,'2024 Summary'!A26,Nov!$H$2:$H$1000)</f>
        <v>0</v>
      </c>
      <c r="M26" s="5">
        <f>SUMIF(Dec!$G$2:$G$1000,'2024 Summary'!A26,Dec!$H$2:$H$1000)</f>
        <v>0</v>
      </c>
      <c r="AA26" s="13">
        <f>Jan!G25</f>
        <v>0</v>
      </c>
    </row>
    <row r="27" spans="1:27" x14ac:dyDescent="0.25">
      <c r="B27" s="5">
        <f>SUMIF(Jan!$G$2:$G$1000,'2024 Summary'!A27,Jan!$H$2:$H$1000)</f>
        <v>0</v>
      </c>
      <c r="C27" s="5">
        <f>SUMIF(Feb!$G$2:$G$1000,'2024 Summary'!A27,Feb!$H$2:$H$1000)</f>
        <v>0</v>
      </c>
      <c r="D27" s="5">
        <f>SUMIF(Mar!$G$2:$G$1000,'2024 Summary'!A27,Mar!$H$2:$H$1000)</f>
        <v>0</v>
      </c>
      <c r="E27" s="5">
        <f>SUMIF(Apr!$G$2:$G$1000,'2024 Summary'!A27,Apr!$H$2:$H$1000)</f>
        <v>0</v>
      </c>
      <c r="F27" s="5">
        <f>SUMIF(May!$G$2:$G$1000,'2024 Summary'!A27,May!$H$2:$H$1000)</f>
        <v>0</v>
      </c>
      <c r="G27" s="5">
        <f>SUMIF(Jun!$G$2:$G$1000,'2024 Summary'!A27,Jun!$H$2:$H$1000)</f>
        <v>0</v>
      </c>
      <c r="H27" s="5">
        <f>SUMIF(Jul!$G$2:$G$1000,'2024 Summary'!A27,Jul!$H$2:$H$1000)</f>
        <v>0</v>
      </c>
      <c r="I27" s="5">
        <f>SUMIF(Aug!$G$2:$G$1000,'2024 Summary'!A27,Aug!$H$2:$H$1000)</f>
        <v>0</v>
      </c>
      <c r="J27" s="5">
        <f>SUMIF(Sep!$G$2:$G$1000,'2024 Summary'!A27,Sep!$H$2:$H$1000)</f>
        <v>0</v>
      </c>
      <c r="K27" s="5">
        <f>SUMIF(Oct!$G$2:$G$1000,'2024 Summary'!A27,Oct!$H$2:$H$1000)</f>
        <v>0</v>
      </c>
      <c r="L27" s="5">
        <f>SUMIF(Nov!$G$2:$G$1000,'2024 Summary'!A27,Nov!$H$2:$H$1000)</f>
        <v>0</v>
      </c>
      <c r="M27" s="5">
        <f>SUMIF(Dec!$G$2:$G$1000,'2024 Summary'!A27,Dec!$H$2:$H$1000)</f>
        <v>0</v>
      </c>
      <c r="AA27" s="13">
        <f>Jan!G26</f>
        <v>0</v>
      </c>
    </row>
    <row r="28" spans="1:27" x14ac:dyDescent="0.25">
      <c r="B28" s="5">
        <f>SUMIF(Jan!$G$2:$G$1000,'2024 Summary'!A28,Jan!$H$2:$H$1000)</f>
        <v>0</v>
      </c>
      <c r="C28" s="5">
        <f>SUMIF(Feb!$G$2:$G$1000,'2024 Summary'!A28,Feb!$H$2:$H$1000)</f>
        <v>0</v>
      </c>
      <c r="D28" s="5">
        <f>SUMIF(Mar!$G$2:$G$1000,'2024 Summary'!A28,Mar!$H$2:$H$1000)</f>
        <v>0</v>
      </c>
      <c r="E28" s="5">
        <f>SUMIF(Apr!$G$2:$G$1000,'2024 Summary'!A28,Apr!$H$2:$H$1000)</f>
        <v>0</v>
      </c>
      <c r="F28" s="5">
        <f>SUMIF(May!$G$2:$G$1000,'2024 Summary'!A28,May!$H$2:$H$1000)</f>
        <v>0</v>
      </c>
      <c r="G28" s="5">
        <f>SUMIF(Jun!$G$2:$G$1000,'2024 Summary'!A28,Jun!$H$2:$H$1000)</f>
        <v>0</v>
      </c>
      <c r="H28" s="5">
        <f>SUMIF(Jul!$G$2:$G$1000,'2024 Summary'!A28,Jul!$H$2:$H$1000)</f>
        <v>0</v>
      </c>
      <c r="I28" s="5">
        <f>SUMIF(Aug!$G$2:$G$1000,'2024 Summary'!A28,Aug!$H$2:$H$1000)</f>
        <v>0</v>
      </c>
      <c r="J28" s="5">
        <f>SUMIF(Sep!$G$2:$G$1000,'2024 Summary'!A28,Sep!$H$2:$H$1000)</f>
        <v>0</v>
      </c>
      <c r="K28" s="5">
        <f>SUMIF(Oct!$G$2:$G$1000,'2024 Summary'!A28,Oct!$H$2:$H$1000)</f>
        <v>0</v>
      </c>
      <c r="L28" s="5">
        <f>SUMIF(Nov!$G$2:$G$1000,'2024 Summary'!A28,Nov!$H$2:$H$1000)</f>
        <v>0</v>
      </c>
      <c r="M28" s="5">
        <f>SUMIF(Dec!$G$2:$G$1000,'2024 Summary'!A28,Dec!$H$2:$H$1000)</f>
        <v>0</v>
      </c>
      <c r="AA28" s="13">
        <f>Jan!G27</f>
        <v>0</v>
      </c>
    </row>
    <row r="29" spans="1:27" x14ac:dyDescent="0.25">
      <c r="B29" s="5">
        <f>SUMIF(Jan!$G$2:$G$1000,'2024 Summary'!A29,Jan!$H$2:$H$1000)</f>
        <v>0</v>
      </c>
      <c r="C29" s="5">
        <f>SUMIF(Feb!$G$2:$G$1000,'2024 Summary'!A29,Feb!$H$2:$H$1000)</f>
        <v>0</v>
      </c>
      <c r="D29" s="5">
        <f>SUMIF(Mar!$G$2:$G$1000,'2024 Summary'!A29,Mar!$H$2:$H$1000)</f>
        <v>0</v>
      </c>
      <c r="E29" s="5">
        <f>SUMIF(Apr!$G$2:$G$1000,'2024 Summary'!A29,Apr!$H$2:$H$1000)</f>
        <v>0</v>
      </c>
      <c r="F29" s="5">
        <f>SUMIF(May!$G$2:$G$1000,'2024 Summary'!A29,May!$H$2:$H$1000)</f>
        <v>0</v>
      </c>
      <c r="G29" s="5">
        <f>SUMIF(Jun!$G$2:$G$1000,'2024 Summary'!A29,Jun!$H$2:$H$1000)</f>
        <v>0</v>
      </c>
      <c r="H29" s="5">
        <f>SUMIF(Jul!$G$2:$G$1000,'2024 Summary'!A29,Jul!$H$2:$H$1000)</f>
        <v>0</v>
      </c>
      <c r="I29" s="5">
        <f>SUMIF(Aug!$G$2:$G$1000,'2024 Summary'!A29,Aug!$H$2:$H$1000)</f>
        <v>0</v>
      </c>
      <c r="J29" s="5">
        <f>SUMIF(Sep!$G$2:$G$1000,'2024 Summary'!A29,Sep!$H$2:$H$1000)</f>
        <v>0</v>
      </c>
      <c r="K29" s="5">
        <f>SUMIF(Oct!$G$2:$G$1000,'2024 Summary'!A29,Oct!$H$2:$H$1000)</f>
        <v>0</v>
      </c>
      <c r="L29" s="5">
        <f>SUMIF(Nov!$G$2:$G$1000,'2024 Summary'!A29,Nov!$H$2:$H$1000)</f>
        <v>0</v>
      </c>
      <c r="M29" s="5">
        <f>SUMIF(Dec!$G$2:$G$1000,'2024 Summary'!A29,Dec!$H$2:$H$1000)</f>
        <v>0</v>
      </c>
      <c r="AA29" s="13">
        <f>Jan!G28</f>
        <v>0</v>
      </c>
    </row>
    <row r="30" spans="1:27" x14ac:dyDescent="0.25">
      <c r="B30" s="5">
        <f>SUMIF(Jan!$G$2:$G$1000,'2024 Summary'!A30,Jan!$H$2:$H$1000)</f>
        <v>0</v>
      </c>
      <c r="C30" s="5">
        <f>SUMIF(Feb!$G$2:$G$1000,'2024 Summary'!A30,Feb!$H$2:$H$1000)</f>
        <v>0</v>
      </c>
      <c r="D30" s="5">
        <f>SUMIF(Mar!$G$2:$G$1000,'2024 Summary'!A30,Mar!$H$2:$H$1000)</f>
        <v>0</v>
      </c>
      <c r="E30" s="5">
        <f>SUMIF(Apr!$G$2:$G$1000,'2024 Summary'!A30,Apr!$H$2:$H$1000)</f>
        <v>0</v>
      </c>
      <c r="F30" s="5">
        <f>SUMIF(May!$G$2:$G$1000,'2024 Summary'!A30,May!$H$2:$H$1000)</f>
        <v>0</v>
      </c>
      <c r="G30" s="5">
        <f>SUMIF(Jun!$G$2:$G$1000,'2024 Summary'!A30,Jun!$H$2:$H$1000)</f>
        <v>0</v>
      </c>
      <c r="H30" s="5">
        <f>SUMIF(Jul!$G$2:$G$1000,'2024 Summary'!A30,Jul!$H$2:$H$1000)</f>
        <v>0</v>
      </c>
      <c r="I30" s="5">
        <f>SUMIF(Aug!$G$2:$G$1000,'2024 Summary'!A30,Aug!$H$2:$H$1000)</f>
        <v>0</v>
      </c>
      <c r="J30" s="5">
        <f>SUMIF(Sep!$G$2:$G$1000,'2024 Summary'!A30,Sep!$H$2:$H$1000)</f>
        <v>0</v>
      </c>
      <c r="K30" s="5">
        <f>SUMIF(Oct!$G$2:$G$1000,'2024 Summary'!A30,Oct!$H$2:$H$1000)</f>
        <v>0</v>
      </c>
      <c r="L30" s="5">
        <f>SUMIF(Nov!$G$2:$G$1000,'2024 Summary'!A30,Nov!$H$2:$H$1000)</f>
        <v>0</v>
      </c>
      <c r="M30" s="5">
        <f>SUMIF(Dec!$G$2:$G$1000,'2024 Summary'!A30,Dec!$H$2:$H$1000)</f>
        <v>0</v>
      </c>
      <c r="AA30" s="13">
        <f>Jan!G29</f>
        <v>0</v>
      </c>
    </row>
    <row r="31" spans="1:27" x14ac:dyDescent="0.25">
      <c r="B31" s="5">
        <f>SUMIF(Jan!$G$2:$G$1000,'2024 Summary'!A31,Jan!$H$2:$H$1000)</f>
        <v>0</v>
      </c>
      <c r="C31" s="5">
        <f>SUMIF(Feb!$G$2:$G$1000,'2024 Summary'!A31,Feb!$H$2:$H$1000)</f>
        <v>0</v>
      </c>
      <c r="D31" s="5">
        <f>SUMIF(Mar!$G$2:$G$1000,'2024 Summary'!A31,Mar!$H$2:$H$1000)</f>
        <v>0</v>
      </c>
      <c r="E31" s="5">
        <f>SUMIF(Apr!$G$2:$G$1000,'2024 Summary'!A31,Apr!$H$2:$H$1000)</f>
        <v>0</v>
      </c>
      <c r="F31" s="5">
        <f>SUMIF(May!$G$2:$G$1000,'2024 Summary'!A31,May!$H$2:$H$1000)</f>
        <v>0</v>
      </c>
      <c r="G31" s="5">
        <f>SUMIF(Jun!$G$2:$G$1000,'2024 Summary'!A31,Jun!$H$2:$H$1000)</f>
        <v>0</v>
      </c>
      <c r="H31" s="5">
        <f>SUMIF(Jul!$G$2:$G$1000,'2024 Summary'!A31,Jul!$H$2:$H$1000)</f>
        <v>0</v>
      </c>
      <c r="I31" s="5">
        <f>SUMIF(Aug!$G$2:$G$1000,'2024 Summary'!A31,Aug!$H$2:$H$1000)</f>
        <v>0</v>
      </c>
      <c r="J31" s="5">
        <f>SUMIF(Sep!$G$2:$G$1000,'2024 Summary'!A31,Sep!$H$2:$H$1000)</f>
        <v>0</v>
      </c>
      <c r="K31" s="5">
        <f>SUMIF(Oct!$G$2:$G$1000,'2024 Summary'!A31,Oct!$H$2:$H$1000)</f>
        <v>0</v>
      </c>
      <c r="L31" s="5">
        <f>SUMIF(Nov!$G$2:$G$1000,'2024 Summary'!A31,Nov!$H$2:$H$1000)</f>
        <v>0</v>
      </c>
      <c r="M31" s="5">
        <f>SUMIF(Dec!$G$2:$G$1000,'2024 Summary'!A31,Dec!$H$2:$H$1000)</f>
        <v>0</v>
      </c>
      <c r="AA31" s="13">
        <f>Jan!G30</f>
        <v>0</v>
      </c>
    </row>
    <row r="32" spans="1:27" x14ac:dyDescent="0.25">
      <c r="B32" s="5">
        <f>SUMIF(Jan!$G$2:$G$1000,'2024 Summary'!A32,Jan!$H$2:$H$1000)</f>
        <v>0</v>
      </c>
      <c r="C32" s="5">
        <f>SUMIF(Feb!$G$2:$G$1000,'2024 Summary'!A32,Feb!$H$2:$H$1000)</f>
        <v>0</v>
      </c>
      <c r="D32" s="5">
        <f>SUMIF(Mar!$G$2:$G$1000,'2024 Summary'!A32,Mar!$H$2:$H$1000)</f>
        <v>0</v>
      </c>
      <c r="E32" s="5">
        <f>SUMIF(Apr!$G$2:$G$1000,'2024 Summary'!A32,Apr!$H$2:$H$1000)</f>
        <v>0</v>
      </c>
      <c r="F32" s="5">
        <f>SUMIF(May!$G$2:$G$1000,'2024 Summary'!A32,May!$H$2:$H$1000)</f>
        <v>0</v>
      </c>
      <c r="G32" s="5">
        <f>SUMIF(Jun!$G$2:$G$1000,'2024 Summary'!A32,Jun!$H$2:$H$1000)</f>
        <v>0</v>
      </c>
      <c r="H32" s="5">
        <f>SUMIF(Jul!$G$2:$G$1000,'2024 Summary'!A32,Jul!$H$2:$H$1000)</f>
        <v>0</v>
      </c>
      <c r="I32" s="5">
        <f>SUMIF(Aug!$G$2:$G$1000,'2024 Summary'!A32,Aug!$H$2:$H$1000)</f>
        <v>0</v>
      </c>
      <c r="J32" s="5">
        <f>SUMIF(Sep!$G$2:$G$1000,'2024 Summary'!A32,Sep!$H$2:$H$1000)</f>
        <v>0</v>
      </c>
      <c r="K32" s="5">
        <f>SUMIF(Oct!$G$2:$G$1000,'2024 Summary'!A32,Oct!$H$2:$H$1000)</f>
        <v>0</v>
      </c>
      <c r="L32" s="5">
        <f>SUMIF(Nov!$G$2:$G$1000,'2024 Summary'!A32,Nov!$H$2:$H$1000)</f>
        <v>0</v>
      </c>
      <c r="M32" s="5">
        <f>SUMIF(Dec!$G$2:$G$1000,'2024 Summary'!A32,Dec!$H$2:$H$1000)</f>
        <v>0</v>
      </c>
      <c r="AA32" s="13">
        <f>Jan!G31</f>
        <v>0</v>
      </c>
    </row>
    <row r="33" spans="2:27" x14ac:dyDescent="0.25">
      <c r="B33" s="5">
        <f>SUMIF(Jan!$G$2:$G$1000,'2024 Summary'!A33,Jan!$H$2:$H$1000)</f>
        <v>0</v>
      </c>
      <c r="C33" s="5">
        <f>SUMIF(Feb!$G$2:$G$1000,'2024 Summary'!A33,Feb!$H$2:$H$1000)</f>
        <v>0</v>
      </c>
      <c r="D33" s="5">
        <f>SUMIF(Mar!$G$2:$G$1000,'2024 Summary'!A33,Mar!$H$2:$H$1000)</f>
        <v>0</v>
      </c>
      <c r="E33" s="5">
        <f>SUMIF(Apr!$G$2:$G$1000,'2024 Summary'!A33,Apr!$H$2:$H$1000)</f>
        <v>0</v>
      </c>
      <c r="F33" s="5">
        <f>SUMIF(May!$G$2:$G$1000,'2024 Summary'!A33,May!$H$2:$H$1000)</f>
        <v>0</v>
      </c>
      <c r="G33" s="5">
        <f>SUMIF(Jun!$G$2:$G$1000,'2024 Summary'!A33,Jun!$H$2:$H$1000)</f>
        <v>0</v>
      </c>
      <c r="H33" s="5">
        <f>SUMIF(Jul!$G$2:$G$1000,'2024 Summary'!A33,Jul!$H$2:$H$1000)</f>
        <v>0</v>
      </c>
      <c r="I33" s="5">
        <f>SUMIF(Aug!$G$2:$G$1000,'2024 Summary'!A33,Aug!$H$2:$H$1000)</f>
        <v>0</v>
      </c>
      <c r="J33" s="5">
        <f>SUMIF(Sep!$G$2:$G$1000,'2024 Summary'!A33,Sep!$H$2:$H$1000)</f>
        <v>0</v>
      </c>
      <c r="K33" s="5">
        <f>SUMIF(Oct!$G$2:$G$1000,'2024 Summary'!A33,Oct!$H$2:$H$1000)</f>
        <v>0</v>
      </c>
      <c r="L33" s="5">
        <f>SUMIF(Nov!$G$2:$G$1000,'2024 Summary'!A33,Nov!$H$2:$H$1000)</f>
        <v>0</v>
      </c>
      <c r="M33" s="5">
        <f>SUMIF(Dec!$G$2:$G$1000,'2024 Summary'!A33,Dec!$H$2:$H$1000)</f>
        <v>0</v>
      </c>
      <c r="AA33" s="13">
        <f>Jan!G32</f>
        <v>0</v>
      </c>
    </row>
    <row r="34" spans="2:27" x14ac:dyDescent="0.25">
      <c r="B34" s="5">
        <f>SUMIF(Jan!$G$2:$G$1000,'2024 Summary'!A34,Jan!$H$2:$H$1000)</f>
        <v>0</v>
      </c>
      <c r="C34" s="5">
        <f>SUMIF(Feb!$G$2:$G$1000,'2024 Summary'!A34,Feb!$H$2:$H$1000)</f>
        <v>0</v>
      </c>
      <c r="D34" s="5">
        <f>SUMIF(Mar!$G$2:$G$1000,'2024 Summary'!A34,Mar!$H$2:$H$1000)</f>
        <v>0</v>
      </c>
      <c r="E34" s="5">
        <f>SUMIF(Apr!$G$2:$G$1000,'2024 Summary'!A34,Apr!$H$2:$H$1000)</f>
        <v>0</v>
      </c>
      <c r="F34" s="5">
        <f>SUMIF(May!$G$2:$G$1000,'2024 Summary'!A34,May!$H$2:$H$1000)</f>
        <v>0</v>
      </c>
      <c r="G34" s="5">
        <f>SUMIF(Jun!$G$2:$G$1000,'2024 Summary'!A34,Jun!$H$2:$H$1000)</f>
        <v>0</v>
      </c>
      <c r="H34" s="5">
        <f>SUMIF(Jul!$G$2:$G$1000,'2024 Summary'!A34,Jul!$H$2:$H$1000)</f>
        <v>0</v>
      </c>
      <c r="I34" s="5">
        <f>SUMIF(Aug!$G$2:$G$1000,'2024 Summary'!A34,Aug!$H$2:$H$1000)</f>
        <v>0</v>
      </c>
      <c r="J34" s="5">
        <f>SUMIF(Sep!$G$2:$G$1000,'2024 Summary'!A34,Sep!$H$2:$H$1000)</f>
        <v>0</v>
      </c>
      <c r="K34" s="5">
        <f>SUMIF(Oct!$G$2:$G$1000,'2024 Summary'!A34,Oct!$H$2:$H$1000)</f>
        <v>0</v>
      </c>
      <c r="L34" s="5">
        <f>SUMIF(Nov!$G$2:$G$1000,'2024 Summary'!A34,Nov!$H$2:$H$1000)</f>
        <v>0</v>
      </c>
      <c r="M34" s="5">
        <f>SUMIF(Dec!$G$2:$G$1000,'2024 Summary'!A34,Dec!$H$2:$H$1000)</f>
        <v>0</v>
      </c>
      <c r="AA34" s="13">
        <f>Jan!G33</f>
        <v>0</v>
      </c>
    </row>
    <row r="35" spans="2:27" x14ac:dyDescent="0.25">
      <c r="B35" s="5">
        <f>SUMIF(Jan!$G$2:$G$1000,'2024 Summary'!A35,Jan!$H$2:$H$1000)</f>
        <v>0</v>
      </c>
      <c r="C35" s="5">
        <f>SUMIF(Feb!$G$2:$G$1000,'2024 Summary'!A35,Feb!$H$2:$H$1000)</f>
        <v>0</v>
      </c>
      <c r="D35" s="5">
        <f>SUMIF(Mar!$G$2:$G$1000,'2024 Summary'!A35,Mar!$H$2:$H$1000)</f>
        <v>0</v>
      </c>
      <c r="E35" s="5">
        <f>SUMIF(Apr!$G$2:$G$1000,'2024 Summary'!A35,Apr!$H$2:$H$1000)</f>
        <v>0</v>
      </c>
      <c r="F35" s="5">
        <f>SUMIF(May!$G$2:$G$1000,'2024 Summary'!A35,May!$H$2:$H$1000)</f>
        <v>0</v>
      </c>
      <c r="G35" s="5">
        <f>SUMIF(Jun!$G$2:$G$1000,'2024 Summary'!A35,Jun!$H$2:$H$1000)</f>
        <v>0</v>
      </c>
      <c r="H35" s="5">
        <f>SUMIF(Jul!$G$2:$G$1000,'2024 Summary'!A35,Jul!$H$2:$H$1000)</f>
        <v>0</v>
      </c>
      <c r="I35" s="5">
        <f>SUMIF(Aug!$G$2:$G$1000,'2024 Summary'!A35,Aug!$H$2:$H$1000)</f>
        <v>0</v>
      </c>
      <c r="J35" s="5">
        <f>SUMIF(Sep!$G$2:$G$1000,'2024 Summary'!A35,Sep!$H$2:$H$1000)</f>
        <v>0</v>
      </c>
      <c r="K35" s="5">
        <f>SUMIF(Oct!$G$2:$G$1000,'2024 Summary'!A35,Oct!$H$2:$H$1000)</f>
        <v>0</v>
      </c>
      <c r="L35" s="5">
        <f>SUMIF(Nov!$G$2:$G$1000,'2024 Summary'!A35,Nov!$H$2:$H$1000)</f>
        <v>0</v>
      </c>
      <c r="M35" s="5">
        <f>SUMIF(Dec!$G$2:$G$1000,'2024 Summary'!A35,Dec!$H$2:$H$1000)</f>
        <v>0</v>
      </c>
      <c r="AA35" s="13">
        <f>Jan!G34</f>
        <v>0</v>
      </c>
    </row>
    <row r="36" spans="2:27" x14ac:dyDescent="0.25">
      <c r="B36" s="5">
        <f>SUMIF(Jan!$G$2:$G$1000,'2024 Summary'!A36,Jan!$H$2:$H$1000)</f>
        <v>0</v>
      </c>
      <c r="C36" s="5">
        <f>SUMIF(Feb!$G$2:$G$1000,'2024 Summary'!A36,Feb!$H$2:$H$1000)</f>
        <v>0</v>
      </c>
      <c r="D36" s="5">
        <f>SUMIF(Mar!$G$2:$G$1000,'2024 Summary'!A36,Mar!$H$2:$H$1000)</f>
        <v>0</v>
      </c>
      <c r="E36" s="5">
        <f>SUMIF(Apr!$G$2:$G$1000,'2024 Summary'!A36,Apr!$H$2:$H$1000)</f>
        <v>0</v>
      </c>
      <c r="F36" s="5">
        <f>SUMIF(May!$G$2:$G$1000,'2024 Summary'!A36,May!$H$2:$H$1000)</f>
        <v>0</v>
      </c>
      <c r="G36" s="5">
        <f>SUMIF(Jun!$G$2:$G$1000,'2024 Summary'!A36,Jun!$H$2:$H$1000)</f>
        <v>0</v>
      </c>
      <c r="H36" s="5">
        <f>SUMIF(Jul!$G$2:$G$1000,'2024 Summary'!A36,Jul!$H$2:$H$1000)</f>
        <v>0</v>
      </c>
      <c r="I36" s="5">
        <f>SUMIF(Aug!$G$2:$G$1000,'2024 Summary'!A36,Aug!$H$2:$H$1000)</f>
        <v>0</v>
      </c>
      <c r="J36" s="5">
        <f>SUMIF(Sep!$G$2:$G$1000,'2024 Summary'!A36,Sep!$H$2:$H$1000)</f>
        <v>0</v>
      </c>
      <c r="K36" s="5">
        <f>SUMIF(Oct!$G$2:$G$1000,'2024 Summary'!A36,Oct!$H$2:$H$1000)</f>
        <v>0</v>
      </c>
      <c r="L36" s="5">
        <f>SUMIF(Nov!$G$2:$G$1000,'2024 Summary'!A36,Nov!$H$2:$H$1000)</f>
        <v>0</v>
      </c>
      <c r="M36" s="5">
        <f>SUMIF(Dec!$G$2:$G$1000,'2024 Summary'!A36,Dec!$H$2:$H$1000)</f>
        <v>0</v>
      </c>
      <c r="AA36" s="13">
        <f>Jan!G35</f>
        <v>0</v>
      </c>
    </row>
    <row r="37" spans="2:27" x14ac:dyDescent="0.25">
      <c r="B37" s="5">
        <f>SUMIF(Jan!$G$2:$G$1000,'2024 Summary'!A37,Jan!$H$2:$H$1000)</f>
        <v>0</v>
      </c>
      <c r="C37" s="5">
        <f>SUMIF(Feb!$G$2:$G$1000,'2024 Summary'!A37,Feb!$H$2:$H$1000)</f>
        <v>0</v>
      </c>
      <c r="D37" s="5">
        <f>SUMIF(Mar!$G$2:$G$1000,'2024 Summary'!A37,Mar!$H$2:$H$1000)</f>
        <v>0</v>
      </c>
      <c r="E37" s="5">
        <f>SUMIF(Apr!$G$2:$G$1000,'2024 Summary'!A37,Apr!$H$2:$H$1000)</f>
        <v>0</v>
      </c>
      <c r="F37" s="5">
        <f>SUMIF(May!$G$2:$G$1000,'2024 Summary'!A37,May!$H$2:$H$1000)</f>
        <v>0</v>
      </c>
      <c r="G37" s="5">
        <f>SUMIF(Jun!$G$2:$G$1000,'2024 Summary'!A37,Jun!$H$2:$H$1000)</f>
        <v>0</v>
      </c>
      <c r="H37" s="5">
        <f>SUMIF(Jul!$G$2:$G$1000,'2024 Summary'!A37,Jul!$H$2:$H$1000)</f>
        <v>0</v>
      </c>
      <c r="I37" s="5">
        <f>SUMIF(Aug!$G$2:$G$1000,'2024 Summary'!A37,Aug!$H$2:$H$1000)</f>
        <v>0</v>
      </c>
      <c r="J37" s="5">
        <f>SUMIF(Sep!$G$2:$G$1000,'2024 Summary'!A37,Sep!$H$2:$H$1000)</f>
        <v>0</v>
      </c>
      <c r="K37" s="5">
        <f>SUMIF(Oct!$G$2:$G$1000,'2024 Summary'!A37,Oct!$H$2:$H$1000)</f>
        <v>0</v>
      </c>
      <c r="L37" s="5">
        <f>SUMIF(Nov!$G$2:$G$1000,'2024 Summary'!A37,Nov!$H$2:$H$1000)</f>
        <v>0</v>
      </c>
      <c r="M37" s="5">
        <f>SUMIF(Dec!$G$2:$G$1000,'2024 Summary'!A37,Dec!$H$2:$H$1000)</f>
        <v>0</v>
      </c>
      <c r="AA37" s="13">
        <f>Jan!G36</f>
        <v>0</v>
      </c>
    </row>
    <row r="38" spans="2:27" x14ac:dyDescent="0.25">
      <c r="B38" s="5">
        <f>SUMIF(Jan!$G$2:$G$1000,'2024 Summary'!A38,Jan!$H$2:$H$1000)</f>
        <v>0</v>
      </c>
      <c r="C38" s="5">
        <f>SUMIF(Feb!$G$2:$G$1000,'2024 Summary'!A38,Feb!$H$2:$H$1000)</f>
        <v>0</v>
      </c>
      <c r="D38" s="5">
        <f>SUMIF(Mar!$G$2:$G$1000,'2024 Summary'!A38,Mar!$H$2:$H$1000)</f>
        <v>0</v>
      </c>
      <c r="E38" s="5">
        <f>SUMIF(Apr!$G$2:$G$1000,'2024 Summary'!A38,Apr!$H$2:$H$1000)</f>
        <v>0</v>
      </c>
      <c r="F38" s="5">
        <f>SUMIF(May!$G$2:$G$1000,'2024 Summary'!A38,May!$H$2:$H$1000)</f>
        <v>0</v>
      </c>
      <c r="G38" s="5">
        <f>SUMIF(Jun!$G$2:$G$1000,'2024 Summary'!A38,Jun!$H$2:$H$1000)</f>
        <v>0</v>
      </c>
      <c r="H38" s="5">
        <f>SUMIF(Jul!$G$2:$G$1000,'2024 Summary'!A38,Jul!$H$2:$H$1000)</f>
        <v>0</v>
      </c>
      <c r="I38" s="5">
        <f>SUMIF(Aug!$G$2:$G$1000,'2024 Summary'!A38,Aug!$H$2:$H$1000)</f>
        <v>0</v>
      </c>
      <c r="J38" s="5">
        <f>SUMIF(Sep!$G$2:$G$1000,'2024 Summary'!A38,Sep!$H$2:$H$1000)</f>
        <v>0</v>
      </c>
      <c r="K38" s="5">
        <f>SUMIF(Oct!$G$2:$G$1000,'2024 Summary'!A38,Oct!$H$2:$H$1000)</f>
        <v>0</v>
      </c>
      <c r="L38" s="5">
        <f>SUMIF(Nov!$G$2:$G$1000,'2024 Summary'!A38,Nov!$H$2:$H$1000)</f>
        <v>0</v>
      </c>
      <c r="M38" s="5">
        <f>SUMIF(Dec!$G$2:$G$1000,'2024 Summary'!A38,Dec!$H$2:$H$1000)</f>
        <v>0</v>
      </c>
      <c r="AA38" s="13">
        <f>Jan!G37</f>
        <v>0</v>
      </c>
    </row>
    <row r="39" spans="2:27" x14ac:dyDescent="0.25">
      <c r="B39" s="5">
        <f>SUMIF(Jan!$G$2:$G$1000,'2024 Summary'!A39,Jan!$H$2:$H$1000)</f>
        <v>0</v>
      </c>
      <c r="C39" s="5">
        <f>SUMIF(Feb!$G$2:$G$1000,'2024 Summary'!A39,Feb!$H$2:$H$1000)</f>
        <v>0</v>
      </c>
      <c r="D39" s="5">
        <f>SUMIF(Mar!$G$2:$G$1000,'2024 Summary'!A39,Mar!$H$2:$H$1000)</f>
        <v>0</v>
      </c>
      <c r="E39" s="5">
        <f>SUMIF(Apr!$G$2:$G$1000,'2024 Summary'!A39,Apr!$H$2:$H$1000)</f>
        <v>0</v>
      </c>
      <c r="F39" s="5">
        <f>SUMIF(May!$G$2:$G$1000,'2024 Summary'!A39,May!$H$2:$H$1000)</f>
        <v>0</v>
      </c>
      <c r="G39" s="5">
        <f>SUMIF(Jun!$G$2:$G$1000,'2024 Summary'!A39,Jun!$H$2:$H$1000)</f>
        <v>0</v>
      </c>
      <c r="H39" s="5">
        <f>SUMIF(Jul!$G$2:$G$1000,'2024 Summary'!A39,Jul!$H$2:$H$1000)</f>
        <v>0</v>
      </c>
      <c r="I39" s="5">
        <f>SUMIF(Aug!$G$2:$G$1000,'2024 Summary'!A39,Aug!$H$2:$H$1000)</f>
        <v>0</v>
      </c>
      <c r="J39" s="5">
        <f>SUMIF(Sep!$G$2:$G$1000,'2024 Summary'!A39,Sep!$H$2:$H$1000)</f>
        <v>0</v>
      </c>
      <c r="K39" s="5">
        <f>SUMIF(Oct!$G$2:$G$1000,'2024 Summary'!A39,Oct!$H$2:$H$1000)</f>
        <v>0</v>
      </c>
      <c r="L39" s="5">
        <f>SUMIF(Nov!$G$2:$G$1000,'2024 Summary'!A39,Nov!$H$2:$H$1000)</f>
        <v>0</v>
      </c>
      <c r="M39" s="5">
        <f>SUMIF(Dec!$G$2:$G$1000,'2024 Summary'!A39,Dec!$H$2:$H$1000)</f>
        <v>0</v>
      </c>
      <c r="AA39" s="13">
        <f>Jan!G38</f>
        <v>0</v>
      </c>
    </row>
    <row r="40" spans="2:27" x14ac:dyDescent="0.25">
      <c r="B40" s="5">
        <f>SUMIF(Jan!$G$2:$G$1000,'2024 Summary'!A40,Jan!$H$2:$H$1000)</f>
        <v>0</v>
      </c>
      <c r="C40" s="5">
        <f>SUMIF(Feb!$G$2:$G$1000,'2024 Summary'!A40,Feb!$H$2:$H$1000)</f>
        <v>0</v>
      </c>
      <c r="D40" s="5">
        <f>SUMIF(Mar!$G$2:$G$1000,'2024 Summary'!A40,Mar!$H$2:$H$1000)</f>
        <v>0</v>
      </c>
      <c r="E40" s="5">
        <f>SUMIF(Apr!$G$2:$G$1000,'2024 Summary'!A40,Apr!$H$2:$H$1000)</f>
        <v>0</v>
      </c>
      <c r="F40" s="5">
        <f>SUMIF(May!$G$2:$G$1000,'2024 Summary'!A40,May!$H$2:$H$1000)</f>
        <v>0</v>
      </c>
      <c r="G40" s="5">
        <f>SUMIF(Jun!$G$2:$G$1000,'2024 Summary'!A40,Jun!$H$2:$H$1000)</f>
        <v>0</v>
      </c>
      <c r="H40" s="5">
        <f>SUMIF(Jul!$G$2:$G$1000,'2024 Summary'!A40,Jul!$H$2:$H$1000)</f>
        <v>0</v>
      </c>
      <c r="I40" s="5">
        <f>SUMIF(Aug!$G$2:$G$1000,'2024 Summary'!A40,Aug!$H$2:$H$1000)</f>
        <v>0</v>
      </c>
      <c r="J40" s="5">
        <f>SUMIF(Sep!$G$2:$G$1000,'2024 Summary'!A40,Sep!$H$2:$H$1000)</f>
        <v>0</v>
      </c>
      <c r="K40" s="5">
        <f>SUMIF(Oct!$G$2:$G$1000,'2024 Summary'!A40,Oct!$H$2:$H$1000)</f>
        <v>0</v>
      </c>
      <c r="L40" s="5">
        <f>SUMIF(Nov!$G$2:$G$1000,'2024 Summary'!A40,Nov!$H$2:$H$1000)</f>
        <v>0</v>
      </c>
      <c r="M40" s="5">
        <f>SUMIF(Dec!$G$2:$G$1000,'2024 Summary'!A40,Dec!$H$2:$H$1000)</f>
        <v>0</v>
      </c>
      <c r="AA40" s="13">
        <f>Jan!G39</f>
        <v>0</v>
      </c>
    </row>
    <row r="41" spans="2:27" x14ac:dyDescent="0.25">
      <c r="B41" s="5">
        <f>SUMIF(Jan!$G$2:$G$1000,'2024 Summary'!A41,Jan!$H$2:$H$1000)</f>
        <v>0</v>
      </c>
      <c r="C41" s="5">
        <f>SUMIF(Feb!$G$2:$G$1000,'2024 Summary'!A41,Feb!$H$2:$H$1000)</f>
        <v>0</v>
      </c>
      <c r="D41" s="5">
        <f>SUMIF(Mar!$G$2:$G$1000,'2024 Summary'!A41,Mar!$H$2:$H$1000)</f>
        <v>0</v>
      </c>
      <c r="E41" s="5">
        <f>SUMIF(Apr!$G$2:$G$1000,'2024 Summary'!A41,Apr!$H$2:$H$1000)</f>
        <v>0</v>
      </c>
      <c r="F41" s="5">
        <f>SUMIF(May!$G$2:$G$1000,'2024 Summary'!A41,May!$H$2:$H$1000)</f>
        <v>0</v>
      </c>
      <c r="G41" s="5">
        <f>SUMIF(Jun!$G$2:$G$1000,'2024 Summary'!A41,Jun!$H$2:$H$1000)</f>
        <v>0</v>
      </c>
      <c r="H41" s="5">
        <f>SUMIF(Jul!$G$2:$G$1000,'2024 Summary'!A41,Jul!$H$2:$H$1000)</f>
        <v>0</v>
      </c>
      <c r="I41" s="5">
        <f>SUMIF(Aug!$G$2:$G$1000,'2024 Summary'!A41,Aug!$H$2:$H$1000)</f>
        <v>0</v>
      </c>
      <c r="J41" s="5">
        <f>SUMIF(Sep!$G$2:$G$1000,'2024 Summary'!A41,Sep!$H$2:$H$1000)</f>
        <v>0</v>
      </c>
      <c r="K41" s="5">
        <f>SUMIF(Oct!$G$2:$G$1000,'2024 Summary'!A41,Oct!$H$2:$H$1000)</f>
        <v>0</v>
      </c>
      <c r="L41" s="5">
        <f>SUMIF(Nov!$G$2:$G$1000,'2024 Summary'!A41,Nov!$H$2:$H$1000)</f>
        <v>0</v>
      </c>
      <c r="M41" s="5">
        <f>SUMIF(Dec!$G$2:$G$1000,'2024 Summary'!A41,Dec!$H$2:$H$1000)</f>
        <v>0</v>
      </c>
      <c r="AA41" s="13">
        <f>Jan!G40</f>
        <v>0</v>
      </c>
    </row>
    <row r="42" spans="2:27" x14ac:dyDescent="0.25">
      <c r="B42" s="5">
        <f>SUMIF(Jan!$G$2:$G$1000,'2024 Summary'!A42,Jan!$H$2:$H$1000)</f>
        <v>0</v>
      </c>
      <c r="C42" s="5">
        <f>SUMIF(Feb!$G$2:$G$1000,'2024 Summary'!A42,Feb!$H$2:$H$1000)</f>
        <v>0</v>
      </c>
      <c r="D42" s="5">
        <f>SUMIF(Mar!$G$2:$G$1000,'2024 Summary'!A42,Mar!$H$2:$H$1000)</f>
        <v>0</v>
      </c>
      <c r="E42" s="5">
        <f>SUMIF(Apr!$G$2:$G$1000,'2024 Summary'!A42,Apr!$H$2:$H$1000)</f>
        <v>0</v>
      </c>
      <c r="F42" s="5">
        <f>SUMIF(May!$G$2:$G$1000,'2024 Summary'!A42,May!$H$2:$H$1000)</f>
        <v>0</v>
      </c>
      <c r="G42" s="5">
        <f>SUMIF(Jun!$G$2:$G$1000,'2024 Summary'!A42,Jun!$H$2:$H$1000)</f>
        <v>0</v>
      </c>
      <c r="H42" s="5">
        <f>SUMIF(Jul!$G$2:$G$1000,'2024 Summary'!A42,Jul!$H$2:$H$1000)</f>
        <v>0</v>
      </c>
      <c r="I42" s="5">
        <f>SUMIF(Aug!$G$2:$G$1000,'2024 Summary'!A42,Aug!$H$2:$H$1000)</f>
        <v>0</v>
      </c>
      <c r="J42" s="5">
        <f>SUMIF(Sep!$G$2:$G$1000,'2024 Summary'!A42,Sep!$H$2:$H$1000)</f>
        <v>0</v>
      </c>
      <c r="K42" s="5">
        <f>SUMIF(Oct!$G$2:$G$1000,'2024 Summary'!A42,Oct!$H$2:$H$1000)</f>
        <v>0</v>
      </c>
      <c r="L42" s="5">
        <f>SUMIF(Nov!$G$2:$G$1000,'2024 Summary'!A42,Nov!$H$2:$H$1000)</f>
        <v>0</v>
      </c>
      <c r="M42" s="5">
        <f>SUMIF(Dec!$G$2:$G$1000,'2024 Summary'!A42,Dec!$H$2:$H$1000)</f>
        <v>0</v>
      </c>
      <c r="AA42" s="13">
        <f>Jan!G41</f>
        <v>0</v>
      </c>
    </row>
    <row r="43" spans="2:27" x14ac:dyDescent="0.25">
      <c r="B43" s="5">
        <f>SUMIF(Jan!$G$2:$G$1000,'2024 Summary'!A43,Jan!$H$2:$H$1000)</f>
        <v>0</v>
      </c>
      <c r="C43" s="5">
        <f>SUMIF(Feb!$G$2:$G$1000,'2024 Summary'!A43,Feb!$H$2:$H$1000)</f>
        <v>0</v>
      </c>
      <c r="D43" s="5">
        <f>SUMIF(Mar!$G$2:$G$1000,'2024 Summary'!A43,Mar!$H$2:$H$1000)</f>
        <v>0</v>
      </c>
      <c r="E43" s="5">
        <f>SUMIF(Apr!$G$2:$G$1000,'2024 Summary'!A43,Apr!$H$2:$H$1000)</f>
        <v>0</v>
      </c>
      <c r="F43" s="5">
        <f>SUMIF(May!$G$2:$G$1000,'2024 Summary'!A43,May!$H$2:$H$1000)</f>
        <v>0</v>
      </c>
      <c r="G43" s="5">
        <f>SUMIF(Jun!$G$2:$G$1000,'2024 Summary'!A43,Jun!$H$2:$H$1000)</f>
        <v>0</v>
      </c>
      <c r="H43" s="5">
        <f>SUMIF(Jul!$G$2:$G$1000,'2024 Summary'!A43,Jul!$H$2:$H$1000)</f>
        <v>0</v>
      </c>
      <c r="I43" s="5">
        <f>SUMIF(Aug!$G$2:$G$1000,'2024 Summary'!A43,Aug!$H$2:$H$1000)</f>
        <v>0</v>
      </c>
      <c r="J43" s="5">
        <f>SUMIF(Sep!$G$2:$G$1000,'2024 Summary'!A43,Sep!$H$2:$H$1000)</f>
        <v>0</v>
      </c>
      <c r="K43" s="5">
        <f>SUMIF(Oct!$G$2:$G$1000,'2024 Summary'!A43,Oct!$H$2:$H$1000)</f>
        <v>0</v>
      </c>
      <c r="L43" s="5">
        <f>SUMIF(Nov!$G$2:$G$1000,'2024 Summary'!A43,Nov!$H$2:$H$1000)</f>
        <v>0</v>
      </c>
      <c r="M43" s="5">
        <f>SUMIF(Dec!$G$2:$G$1000,'2024 Summary'!A43,Dec!$H$2:$H$1000)</f>
        <v>0</v>
      </c>
      <c r="AA43" s="13">
        <f>Jan!G42</f>
        <v>0</v>
      </c>
    </row>
    <row r="44" spans="2:27" x14ac:dyDescent="0.25">
      <c r="B44" s="5">
        <f>SUMIF(Jan!$G$2:$G$1000,'2024 Summary'!A44,Jan!$H$2:$H$1000)</f>
        <v>0</v>
      </c>
      <c r="C44" s="5">
        <f>SUMIF(Feb!$G$2:$G$1000,'2024 Summary'!A44,Feb!$H$2:$H$1000)</f>
        <v>0</v>
      </c>
      <c r="D44" s="5">
        <f>SUMIF(Mar!$G$2:$G$1000,'2024 Summary'!A44,Mar!$H$2:$H$1000)</f>
        <v>0</v>
      </c>
      <c r="E44" s="5">
        <f>SUMIF(Apr!$G$2:$G$1000,'2024 Summary'!A44,Apr!$H$2:$H$1000)</f>
        <v>0</v>
      </c>
      <c r="F44" s="5">
        <f>SUMIF(May!$G$2:$G$1000,'2024 Summary'!A44,May!$H$2:$H$1000)</f>
        <v>0</v>
      </c>
      <c r="G44" s="5">
        <f>SUMIF(Jun!$G$2:$G$1000,'2024 Summary'!A44,Jun!$H$2:$H$1000)</f>
        <v>0</v>
      </c>
      <c r="H44" s="5">
        <f>SUMIF(Jul!$G$2:$G$1000,'2024 Summary'!A44,Jul!$H$2:$H$1000)</f>
        <v>0</v>
      </c>
      <c r="I44" s="5">
        <f>SUMIF(Aug!$G$2:$G$1000,'2024 Summary'!A44,Aug!$H$2:$H$1000)</f>
        <v>0</v>
      </c>
      <c r="J44" s="5">
        <f>SUMIF(Sep!$G$2:$G$1000,'2024 Summary'!A44,Sep!$H$2:$H$1000)</f>
        <v>0</v>
      </c>
      <c r="K44" s="5">
        <f>SUMIF(Oct!$G$2:$G$1000,'2024 Summary'!A44,Oct!$H$2:$H$1000)</f>
        <v>0</v>
      </c>
      <c r="L44" s="5">
        <f>SUMIF(Nov!$G$2:$G$1000,'2024 Summary'!A44,Nov!$H$2:$H$1000)</f>
        <v>0</v>
      </c>
      <c r="M44" s="5">
        <f>SUMIF(Dec!$G$2:$G$1000,'2024 Summary'!A44,Dec!$H$2:$H$1000)</f>
        <v>0</v>
      </c>
      <c r="AA44" s="13">
        <f>Jan!G43</f>
        <v>0</v>
      </c>
    </row>
    <row r="45" spans="2:27" x14ac:dyDescent="0.25">
      <c r="B45" s="5">
        <f>SUMIF(Jan!$G$2:$G$1000,'2024 Summary'!A45,Jan!$H$2:$H$1000)</f>
        <v>0</v>
      </c>
      <c r="C45" s="5">
        <f>SUMIF(Feb!$G$2:$G$1000,'2024 Summary'!A45,Feb!$H$2:$H$1000)</f>
        <v>0</v>
      </c>
      <c r="D45" s="5">
        <f>SUMIF(Mar!$G$2:$G$1000,'2024 Summary'!A45,Mar!$H$2:$H$1000)</f>
        <v>0</v>
      </c>
      <c r="E45" s="5">
        <f>SUMIF(Apr!$G$2:$G$1000,'2024 Summary'!A45,Apr!$H$2:$H$1000)</f>
        <v>0</v>
      </c>
      <c r="F45" s="5">
        <f>SUMIF(May!$G$2:$G$1000,'2024 Summary'!A45,May!$H$2:$H$1000)</f>
        <v>0</v>
      </c>
      <c r="G45" s="5">
        <f>SUMIF(Jun!$G$2:$G$1000,'2024 Summary'!A45,Jun!$H$2:$H$1000)</f>
        <v>0</v>
      </c>
      <c r="H45" s="5">
        <f>SUMIF(Jul!$G$2:$G$1000,'2024 Summary'!A45,Jul!$H$2:$H$1000)</f>
        <v>0</v>
      </c>
      <c r="I45" s="5">
        <f>SUMIF(Aug!$G$2:$G$1000,'2024 Summary'!A45,Aug!$H$2:$H$1000)</f>
        <v>0</v>
      </c>
      <c r="J45" s="5">
        <f>SUMIF(Sep!$G$2:$G$1000,'2024 Summary'!A45,Sep!$H$2:$H$1000)</f>
        <v>0</v>
      </c>
      <c r="K45" s="5">
        <f>SUMIF(Oct!$G$2:$G$1000,'2024 Summary'!A45,Oct!$H$2:$H$1000)</f>
        <v>0</v>
      </c>
      <c r="L45" s="5">
        <f>SUMIF(Nov!$G$2:$G$1000,'2024 Summary'!A45,Nov!$H$2:$H$1000)</f>
        <v>0</v>
      </c>
      <c r="M45" s="5">
        <f>SUMIF(Dec!$G$2:$G$1000,'2024 Summary'!A45,Dec!$H$2:$H$1000)</f>
        <v>0</v>
      </c>
      <c r="AA45" s="13">
        <f>Jan!G44</f>
        <v>0</v>
      </c>
    </row>
    <row r="46" spans="2:27" x14ac:dyDescent="0.25">
      <c r="B46" s="5">
        <f>SUMIF(Jan!$G$2:$G$1000,'2024 Summary'!A46,Jan!$H$2:$H$1000)</f>
        <v>0</v>
      </c>
      <c r="C46" s="5">
        <f>SUMIF(Feb!$G$2:$G$1000,'2024 Summary'!A46,Feb!$H$2:$H$1000)</f>
        <v>0</v>
      </c>
      <c r="D46" s="5">
        <f>SUMIF(Mar!$G$2:$G$1000,'2024 Summary'!A46,Mar!$H$2:$H$1000)</f>
        <v>0</v>
      </c>
      <c r="E46" s="5">
        <f>SUMIF(Apr!$G$2:$G$1000,'2024 Summary'!A46,Apr!$H$2:$H$1000)</f>
        <v>0</v>
      </c>
      <c r="F46" s="5">
        <f>SUMIF(May!$G$2:$G$1000,'2024 Summary'!A46,May!$H$2:$H$1000)</f>
        <v>0</v>
      </c>
      <c r="G46" s="5">
        <f>SUMIF(Jun!$G$2:$G$1000,'2024 Summary'!A46,Jun!$H$2:$H$1000)</f>
        <v>0</v>
      </c>
      <c r="H46" s="5">
        <f>SUMIF(Jul!$G$2:$G$1000,'2024 Summary'!A46,Jul!$H$2:$H$1000)</f>
        <v>0</v>
      </c>
      <c r="I46" s="5">
        <f>SUMIF(Aug!$G$2:$G$1000,'2024 Summary'!A46,Aug!$H$2:$H$1000)</f>
        <v>0</v>
      </c>
      <c r="J46" s="5">
        <f>SUMIF(Sep!$G$2:$G$1000,'2024 Summary'!A46,Sep!$H$2:$H$1000)</f>
        <v>0</v>
      </c>
      <c r="K46" s="5">
        <f>SUMIF(Oct!$G$2:$G$1000,'2024 Summary'!A46,Oct!$H$2:$H$1000)</f>
        <v>0</v>
      </c>
      <c r="L46" s="5">
        <f>SUMIF(Nov!$G$2:$G$1000,'2024 Summary'!A46,Nov!$H$2:$H$1000)</f>
        <v>0</v>
      </c>
      <c r="M46" s="5">
        <f>SUMIF(Dec!$G$2:$G$1000,'2024 Summary'!A46,Dec!$H$2:$H$1000)</f>
        <v>0</v>
      </c>
      <c r="AA46" s="13">
        <f>Jan!G45</f>
        <v>0</v>
      </c>
    </row>
    <row r="47" spans="2:27" x14ac:dyDescent="0.25">
      <c r="B47" s="5">
        <f>SUMIF(Jan!$G$2:$G$1000,'2024 Summary'!A47,Jan!$H$2:$H$1000)</f>
        <v>0</v>
      </c>
      <c r="C47" s="5">
        <f>SUMIF(Feb!$G$2:$G$1000,'2024 Summary'!A47,Feb!$H$2:$H$1000)</f>
        <v>0</v>
      </c>
      <c r="D47" s="5">
        <f>SUMIF(Mar!$G$2:$G$1000,'2024 Summary'!A47,Mar!$H$2:$H$1000)</f>
        <v>0</v>
      </c>
      <c r="E47" s="5">
        <f>SUMIF(Apr!$G$2:$G$1000,'2024 Summary'!A47,Apr!$H$2:$H$1000)</f>
        <v>0</v>
      </c>
      <c r="F47" s="5">
        <f>SUMIF(May!$G$2:$G$1000,'2024 Summary'!A47,May!$H$2:$H$1000)</f>
        <v>0</v>
      </c>
      <c r="G47" s="5">
        <f>SUMIF(Jun!$G$2:$G$1000,'2024 Summary'!A47,Jun!$H$2:$H$1000)</f>
        <v>0</v>
      </c>
      <c r="H47" s="5">
        <f>SUMIF(Jul!$G$2:$G$1000,'2024 Summary'!A47,Jul!$H$2:$H$1000)</f>
        <v>0</v>
      </c>
      <c r="I47" s="5">
        <f>SUMIF(Aug!$G$2:$G$1000,'2024 Summary'!A47,Aug!$H$2:$H$1000)</f>
        <v>0</v>
      </c>
      <c r="J47" s="5">
        <f>SUMIF(Sep!$G$2:$G$1000,'2024 Summary'!A47,Sep!$H$2:$H$1000)</f>
        <v>0</v>
      </c>
      <c r="K47" s="5">
        <f>SUMIF(Oct!$G$2:$G$1000,'2024 Summary'!A47,Oct!$H$2:$H$1000)</f>
        <v>0</v>
      </c>
      <c r="L47" s="5">
        <f>SUMIF(Nov!$G$2:$G$1000,'2024 Summary'!A47,Nov!$H$2:$H$1000)</f>
        <v>0</v>
      </c>
      <c r="M47" s="5">
        <f>SUMIF(Dec!$G$2:$G$1000,'2024 Summary'!A47,Dec!$H$2:$H$1000)</f>
        <v>0</v>
      </c>
      <c r="AA47" s="13">
        <f>Jan!G46</f>
        <v>0</v>
      </c>
    </row>
    <row r="48" spans="2:27" x14ac:dyDescent="0.25">
      <c r="B48" s="5">
        <f>SUMIF(Jan!$G$2:$G$1000,'2024 Summary'!A48,Jan!$H$2:$H$1000)</f>
        <v>0</v>
      </c>
      <c r="C48" s="5">
        <f>SUMIF(Feb!$G$2:$G$1000,'2024 Summary'!A48,Feb!$H$2:$H$1000)</f>
        <v>0</v>
      </c>
      <c r="D48" s="5">
        <f>SUMIF(Mar!$G$2:$G$1000,'2024 Summary'!A48,Mar!$H$2:$H$1000)</f>
        <v>0</v>
      </c>
      <c r="E48" s="5">
        <f>SUMIF(Apr!$G$2:$G$1000,'2024 Summary'!A48,Apr!$H$2:$H$1000)</f>
        <v>0</v>
      </c>
      <c r="F48" s="5">
        <f>SUMIF(May!$G$2:$G$1000,'2024 Summary'!A48,May!$H$2:$H$1000)</f>
        <v>0</v>
      </c>
      <c r="G48" s="5">
        <f>SUMIF(Jun!$G$2:$G$1000,'2024 Summary'!A48,Jun!$H$2:$H$1000)</f>
        <v>0</v>
      </c>
      <c r="H48" s="5">
        <f>SUMIF(Jul!$G$2:$G$1000,'2024 Summary'!A48,Jul!$H$2:$H$1000)</f>
        <v>0</v>
      </c>
      <c r="I48" s="5">
        <f>SUMIF(Aug!$G$2:$G$1000,'2024 Summary'!A48,Aug!$H$2:$H$1000)</f>
        <v>0</v>
      </c>
      <c r="J48" s="5">
        <f>SUMIF(Sep!$G$2:$G$1000,'2024 Summary'!A48,Sep!$H$2:$H$1000)</f>
        <v>0</v>
      </c>
      <c r="K48" s="5">
        <f>SUMIF(Oct!$G$2:$G$1000,'2024 Summary'!A48,Oct!$H$2:$H$1000)</f>
        <v>0</v>
      </c>
      <c r="L48" s="5">
        <f>SUMIF(Nov!$G$2:$G$1000,'2024 Summary'!A48,Nov!$H$2:$H$1000)</f>
        <v>0</v>
      </c>
      <c r="M48" s="5">
        <f>SUMIF(Dec!$G$2:$G$1000,'2024 Summary'!A48,Dec!$H$2:$H$1000)</f>
        <v>0</v>
      </c>
      <c r="AA48" s="13">
        <f>Jan!G47</f>
        <v>0</v>
      </c>
    </row>
    <row r="49" spans="2:27" x14ac:dyDescent="0.25">
      <c r="B49" s="5">
        <f>SUMIF(Jan!$G$2:$G$1000,'2024 Summary'!A49,Jan!$H$2:$H$1000)</f>
        <v>0</v>
      </c>
      <c r="C49" s="5">
        <f>SUMIF(Feb!$G$2:$G$1000,'2024 Summary'!A49,Feb!$H$2:$H$1000)</f>
        <v>0</v>
      </c>
      <c r="D49" s="5">
        <f>SUMIF(Mar!$G$2:$G$1000,'2024 Summary'!A49,Mar!$H$2:$H$1000)</f>
        <v>0</v>
      </c>
      <c r="E49" s="5">
        <f>SUMIF(Apr!$G$2:$G$1000,'2024 Summary'!A49,Apr!$H$2:$H$1000)</f>
        <v>0</v>
      </c>
      <c r="F49" s="5">
        <f>SUMIF(May!$G$2:$G$1000,'2024 Summary'!A49,May!$H$2:$H$1000)</f>
        <v>0</v>
      </c>
      <c r="G49" s="5">
        <f>SUMIF(Jun!$G$2:$G$1000,'2024 Summary'!A49,Jun!$H$2:$H$1000)</f>
        <v>0</v>
      </c>
      <c r="H49" s="5">
        <f>SUMIF(Jul!$G$2:$G$1000,'2024 Summary'!A49,Jul!$H$2:$H$1000)</f>
        <v>0</v>
      </c>
      <c r="I49" s="5">
        <f>SUMIF(Aug!$G$2:$G$1000,'2024 Summary'!A49,Aug!$H$2:$H$1000)</f>
        <v>0</v>
      </c>
      <c r="J49" s="5">
        <f>SUMIF(Sep!$G$2:$G$1000,'2024 Summary'!A49,Sep!$H$2:$H$1000)</f>
        <v>0</v>
      </c>
      <c r="K49" s="5">
        <f>SUMIF(Oct!$G$2:$G$1000,'2024 Summary'!A49,Oct!$H$2:$H$1000)</f>
        <v>0</v>
      </c>
      <c r="L49" s="5">
        <f>SUMIF(Nov!$G$2:$G$1000,'2024 Summary'!A49,Nov!$H$2:$H$1000)</f>
        <v>0</v>
      </c>
      <c r="M49" s="5">
        <f>SUMIF(Dec!$G$2:$G$1000,'2024 Summary'!A49,Dec!$H$2:$H$1000)</f>
        <v>0</v>
      </c>
      <c r="AA49" s="13">
        <f>Jan!G48</f>
        <v>0</v>
      </c>
    </row>
    <row r="50" spans="2:27" x14ac:dyDescent="0.25">
      <c r="B50" s="5">
        <f>SUMIF(Jan!$G$2:$G$1000,'2024 Summary'!A50,Jan!$H$2:$H$1000)</f>
        <v>0</v>
      </c>
      <c r="C50" s="5">
        <f>SUMIF(Feb!$G$2:$G$1000,'2024 Summary'!A50,Feb!$H$2:$H$1000)</f>
        <v>0</v>
      </c>
      <c r="D50" s="5">
        <f>SUMIF(Mar!$G$2:$G$1000,'2024 Summary'!A50,Mar!$H$2:$H$1000)</f>
        <v>0</v>
      </c>
      <c r="E50" s="5">
        <f>SUMIF(Apr!$G$2:$G$1000,'2024 Summary'!A50,Apr!$H$2:$H$1000)</f>
        <v>0</v>
      </c>
      <c r="F50" s="5">
        <f>SUMIF(May!$G$2:$G$1000,'2024 Summary'!A50,May!$H$2:$H$1000)</f>
        <v>0</v>
      </c>
      <c r="G50" s="5">
        <f>SUMIF(Jun!$G$2:$G$1000,'2024 Summary'!A50,Jun!$H$2:$H$1000)</f>
        <v>0</v>
      </c>
      <c r="H50" s="5">
        <f>SUMIF(Jul!$G$2:$G$1000,'2024 Summary'!A50,Jul!$H$2:$H$1000)</f>
        <v>0</v>
      </c>
      <c r="I50" s="5">
        <f>SUMIF(Aug!$G$2:$G$1000,'2024 Summary'!A50,Aug!$H$2:$H$1000)</f>
        <v>0</v>
      </c>
      <c r="J50" s="5">
        <f>SUMIF(Sep!$G$2:$G$1000,'2024 Summary'!A50,Sep!$H$2:$H$1000)</f>
        <v>0</v>
      </c>
      <c r="K50" s="5">
        <f>SUMIF(Oct!$G$2:$G$1000,'2024 Summary'!A50,Oct!$H$2:$H$1000)</f>
        <v>0</v>
      </c>
      <c r="L50" s="5">
        <f>SUMIF(Nov!$G$2:$G$1000,'2024 Summary'!A50,Nov!$H$2:$H$1000)</f>
        <v>0</v>
      </c>
      <c r="M50" s="5">
        <f>SUMIF(Dec!$G$2:$G$1000,'2024 Summary'!A50,Dec!$H$2:$H$1000)</f>
        <v>0</v>
      </c>
      <c r="AA50" s="13">
        <f>Jan!G49</f>
        <v>0</v>
      </c>
    </row>
    <row r="51" spans="2:27" x14ac:dyDescent="0.25">
      <c r="B51" s="5">
        <f>SUMIF(Jan!$G$2:$G$1000,'2024 Summary'!A51,Jan!$H$2:$H$1000)</f>
        <v>0</v>
      </c>
      <c r="C51" s="5">
        <f>SUMIF(Feb!$G$2:$G$1000,'2024 Summary'!A51,Feb!$H$2:$H$1000)</f>
        <v>0</v>
      </c>
      <c r="D51" s="5">
        <f>SUMIF(Mar!$G$2:$G$1000,'2024 Summary'!A51,Mar!$H$2:$H$1000)</f>
        <v>0</v>
      </c>
      <c r="E51" s="5">
        <f>SUMIF(Apr!$G$2:$G$1000,'2024 Summary'!A51,Apr!$H$2:$H$1000)</f>
        <v>0</v>
      </c>
      <c r="F51" s="5">
        <f>SUMIF(May!$G$2:$G$1000,'2024 Summary'!A51,May!$H$2:$H$1000)</f>
        <v>0</v>
      </c>
      <c r="G51" s="5">
        <f>SUMIF(Jun!$G$2:$G$1000,'2024 Summary'!A51,Jun!$H$2:$H$1000)</f>
        <v>0</v>
      </c>
      <c r="H51" s="5">
        <f>SUMIF(Jul!$G$2:$G$1000,'2024 Summary'!A51,Jul!$H$2:$H$1000)</f>
        <v>0</v>
      </c>
      <c r="I51" s="5">
        <f>SUMIF(Aug!$G$2:$G$1000,'2024 Summary'!A51,Aug!$H$2:$H$1000)</f>
        <v>0</v>
      </c>
      <c r="J51" s="5">
        <f>SUMIF(Sep!$G$2:$G$1000,'2024 Summary'!A51,Sep!$H$2:$H$1000)</f>
        <v>0</v>
      </c>
      <c r="K51" s="5">
        <f>SUMIF(Oct!$G$2:$G$1000,'2024 Summary'!A51,Oct!$H$2:$H$1000)</f>
        <v>0</v>
      </c>
      <c r="L51" s="5">
        <f>SUMIF(Nov!$G$2:$G$1000,'2024 Summary'!A51,Nov!$H$2:$H$1000)</f>
        <v>0</v>
      </c>
      <c r="M51" s="5">
        <f>SUMIF(Dec!$G$2:$G$1000,'2024 Summary'!A51,Dec!$H$2:$H$1000)</f>
        <v>0</v>
      </c>
      <c r="AA51" s="13">
        <f>Jan!G50</f>
        <v>0</v>
      </c>
    </row>
    <row r="52" spans="2:27" x14ac:dyDescent="0.25">
      <c r="B52" s="5">
        <f>SUMIF(Jan!$G$2:$G$1000,'2024 Summary'!A52,Jan!$H$2:$H$1000)</f>
        <v>0</v>
      </c>
      <c r="C52" s="5">
        <f>SUMIF(Feb!$G$2:$G$1000,'2024 Summary'!A52,Feb!$H$2:$H$1000)</f>
        <v>0</v>
      </c>
      <c r="D52" s="5">
        <f>SUMIF(Mar!$G$2:$G$1000,'2024 Summary'!A52,Mar!$H$2:$H$1000)</f>
        <v>0</v>
      </c>
      <c r="E52" s="5">
        <f>SUMIF(Apr!$G$2:$G$1000,'2024 Summary'!A52,Apr!$H$2:$H$1000)</f>
        <v>0</v>
      </c>
      <c r="F52" s="5">
        <f>SUMIF(May!$G$2:$G$1000,'2024 Summary'!A52,May!$H$2:$H$1000)</f>
        <v>0</v>
      </c>
      <c r="G52" s="5">
        <f>SUMIF(Jun!$G$2:$G$1000,'2024 Summary'!A52,Jun!$H$2:$H$1000)</f>
        <v>0</v>
      </c>
      <c r="H52" s="5">
        <f>SUMIF(Jul!$G$2:$G$1000,'2024 Summary'!A52,Jul!$H$2:$H$1000)</f>
        <v>0</v>
      </c>
      <c r="I52" s="5">
        <f>SUMIF(Aug!$G$2:$G$1000,'2024 Summary'!A52,Aug!$H$2:$H$1000)</f>
        <v>0</v>
      </c>
      <c r="J52" s="5">
        <f>SUMIF(Sep!$G$2:$G$1000,'2024 Summary'!A52,Sep!$H$2:$H$1000)</f>
        <v>0</v>
      </c>
      <c r="K52" s="5">
        <f>SUMIF(Oct!$G$2:$G$1000,'2024 Summary'!A52,Oct!$H$2:$H$1000)</f>
        <v>0</v>
      </c>
      <c r="L52" s="5">
        <f>SUMIF(Nov!$G$2:$G$1000,'2024 Summary'!A52,Nov!$H$2:$H$1000)</f>
        <v>0</v>
      </c>
      <c r="M52" s="5">
        <f>SUMIF(Dec!$G$2:$G$1000,'2024 Summary'!A52,Dec!$H$2:$H$1000)</f>
        <v>0</v>
      </c>
      <c r="AA52" s="13">
        <f>Jan!G51</f>
        <v>0</v>
      </c>
    </row>
    <row r="53" spans="2:27" x14ac:dyDescent="0.25">
      <c r="B53" s="5">
        <f>SUMIF(Jan!$G$2:$G$1000,'2024 Summary'!A53,Jan!$H$2:$H$1000)</f>
        <v>0</v>
      </c>
      <c r="C53" s="5">
        <f>SUMIF(Feb!$G$2:$G$1000,'2024 Summary'!A53,Feb!$H$2:$H$1000)</f>
        <v>0</v>
      </c>
      <c r="D53" s="5">
        <f>SUMIF(Mar!$G$2:$G$1000,'2024 Summary'!A53,Mar!$H$2:$H$1000)</f>
        <v>0</v>
      </c>
      <c r="E53" s="5">
        <f>SUMIF(Apr!$G$2:$G$1000,'2024 Summary'!A53,Apr!$H$2:$H$1000)</f>
        <v>0</v>
      </c>
      <c r="F53" s="5">
        <f>SUMIF(May!$G$2:$G$1000,'2024 Summary'!A53,May!$H$2:$H$1000)</f>
        <v>0</v>
      </c>
      <c r="G53" s="5">
        <f>SUMIF(Jun!$G$2:$G$1000,'2024 Summary'!A53,Jun!$H$2:$H$1000)</f>
        <v>0</v>
      </c>
      <c r="H53" s="5">
        <f>SUMIF(Jul!$G$2:$G$1000,'2024 Summary'!A53,Jul!$H$2:$H$1000)</f>
        <v>0</v>
      </c>
      <c r="I53" s="5">
        <f>SUMIF(Aug!$G$2:$G$1000,'2024 Summary'!A53,Aug!$H$2:$H$1000)</f>
        <v>0</v>
      </c>
      <c r="J53" s="5">
        <f>SUMIF(Sep!$G$2:$G$1000,'2024 Summary'!A53,Sep!$H$2:$H$1000)</f>
        <v>0</v>
      </c>
      <c r="K53" s="5">
        <f>SUMIF(Oct!$G$2:$G$1000,'2024 Summary'!A53,Oct!$H$2:$H$1000)</f>
        <v>0</v>
      </c>
      <c r="L53" s="5">
        <f>SUMIF(Nov!$G$2:$G$1000,'2024 Summary'!A53,Nov!$H$2:$H$1000)</f>
        <v>0</v>
      </c>
      <c r="M53" s="5">
        <f>SUMIF(Dec!$G$2:$G$1000,'2024 Summary'!A53,Dec!$H$2:$H$1000)</f>
        <v>0</v>
      </c>
      <c r="AA53" s="13">
        <f>Jan!G52</f>
        <v>0</v>
      </c>
    </row>
    <row r="54" spans="2:27" x14ac:dyDescent="0.25">
      <c r="B54" s="5">
        <f>SUMIF(Jan!$G$2:$G$1000,'2024 Summary'!A54,Jan!$H$2:$H$1000)</f>
        <v>0</v>
      </c>
      <c r="C54" s="5">
        <f>SUMIF(Feb!$G$2:$G$1000,'2024 Summary'!A54,Feb!$H$2:$H$1000)</f>
        <v>0</v>
      </c>
      <c r="D54" s="5">
        <f>SUMIF(Mar!$G$2:$G$1000,'2024 Summary'!A54,Mar!$H$2:$H$1000)</f>
        <v>0</v>
      </c>
      <c r="E54" s="5">
        <f>SUMIF(Apr!$G$2:$G$1000,'2024 Summary'!A54,Apr!$H$2:$H$1000)</f>
        <v>0</v>
      </c>
      <c r="F54" s="5">
        <f>SUMIF(May!$G$2:$G$1000,'2024 Summary'!A54,May!$H$2:$H$1000)</f>
        <v>0</v>
      </c>
      <c r="G54" s="5">
        <f>SUMIF(Jun!$G$2:$G$1000,'2024 Summary'!A54,Jun!$H$2:$H$1000)</f>
        <v>0</v>
      </c>
      <c r="H54" s="5">
        <f>SUMIF(Jul!$G$2:$G$1000,'2024 Summary'!A54,Jul!$H$2:$H$1000)</f>
        <v>0</v>
      </c>
      <c r="I54" s="5">
        <f>SUMIF(Aug!$G$2:$G$1000,'2024 Summary'!A54,Aug!$H$2:$H$1000)</f>
        <v>0</v>
      </c>
      <c r="J54" s="5">
        <f>SUMIF(Sep!$G$2:$G$1000,'2024 Summary'!A54,Sep!$H$2:$H$1000)</f>
        <v>0</v>
      </c>
      <c r="K54" s="5">
        <f>SUMIF(Oct!$G$2:$G$1000,'2024 Summary'!A54,Oct!$H$2:$H$1000)</f>
        <v>0</v>
      </c>
      <c r="L54" s="5">
        <f>SUMIF(Nov!$G$2:$G$1000,'2024 Summary'!A54,Nov!$H$2:$H$1000)</f>
        <v>0</v>
      </c>
      <c r="M54" s="5">
        <f>SUMIF(Dec!$G$2:$G$1000,'2024 Summary'!A54,Dec!$H$2:$H$1000)</f>
        <v>0</v>
      </c>
      <c r="AA54" s="13">
        <f>Jan!G53</f>
        <v>0</v>
      </c>
    </row>
    <row r="55" spans="2:27" x14ac:dyDescent="0.25">
      <c r="B55" s="5">
        <f>SUMIF(Jan!$G$2:$G$1000,'2024 Summary'!A55,Jan!$H$2:$H$1000)</f>
        <v>0</v>
      </c>
      <c r="C55" s="5">
        <f>SUMIF(Feb!$G$2:$G$1000,'2024 Summary'!A55,Feb!$H$2:$H$1000)</f>
        <v>0</v>
      </c>
      <c r="D55" s="5">
        <f>SUMIF(Mar!$G$2:$G$1000,'2024 Summary'!A55,Mar!$H$2:$H$1000)</f>
        <v>0</v>
      </c>
      <c r="E55" s="5">
        <f>SUMIF(Apr!$G$2:$G$1000,'2024 Summary'!A55,Apr!$H$2:$H$1000)</f>
        <v>0</v>
      </c>
      <c r="F55" s="5">
        <f>SUMIF(May!$G$2:$G$1000,'2024 Summary'!A55,May!$H$2:$H$1000)</f>
        <v>0</v>
      </c>
      <c r="G55" s="5">
        <f>SUMIF(Jun!$G$2:$G$1000,'2024 Summary'!A55,Jun!$H$2:$H$1000)</f>
        <v>0</v>
      </c>
      <c r="H55" s="5">
        <f>SUMIF(Jul!$G$2:$G$1000,'2024 Summary'!A55,Jul!$H$2:$H$1000)</f>
        <v>0</v>
      </c>
      <c r="I55" s="5">
        <f>SUMIF(Aug!$G$2:$G$1000,'2024 Summary'!A55,Aug!$H$2:$H$1000)</f>
        <v>0</v>
      </c>
      <c r="J55" s="5">
        <f>SUMIF(Sep!$G$2:$G$1000,'2024 Summary'!A55,Sep!$H$2:$H$1000)</f>
        <v>0</v>
      </c>
      <c r="K55" s="5">
        <f>SUMIF(Oct!$G$2:$G$1000,'2024 Summary'!A55,Oct!$H$2:$H$1000)</f>
        <v>0</v>
      </c>
      <c r="L55" s="5">
        <f>SUMIF(Nov!$G$2:$G$1000,'2024 Summary'!A55,Nov!$H$2:$H$1000)</f>
        <v>0</v>
      </c>
      <c r="M55" s="5">
        <f>SUMIF(Dec!$G$2:$G$1000,'2024 Summary'!A55,Dec!$H$2:$H$1000)</f>
        <v>0</v>
      </c>
      <c r="AA55" s="13">
        <f>Jan!G54</f>
        <v>0</v>
      </c>
    </row>
    <row r="56" spans="2:27" x14ac:dyDescent="0.25">
      <c r="B56" s="5">
        <f>SUMIF(Jan!$G$2:$G$1000,'2024 Summary'!A56,Jan!$H$2:$H$1000)</f>
        <v>0</v>
      </c>
      <c r="C56" s="5">
        <f>SUMIF(Feb!$G$2:$G$1000,'2024 Summary'!A56,Feb!$H$2:$H$1000)</f>
        <v>0</v>
      </c>
      <c r="D56" s="5">
        <f>SUMIF(Mar!$G$2:$G$1000,'2024 Summary'!A56,Mar!$H$2:$H$1000)</f>
        <v>0</v>
      </c>
      <c r="E56" s="5">
        <f>SUMIF(Apr!$G$2:$G$1000,'2024 Summary'!A56,Apr!$H$2:$H$1000)</f>
        <v>0</v>
      </c>
      <c r="F56" s="5">
        <f>SUMIF(May!$G$2:$G$1000,'2024 Summary'!A56,May!$H$2:$H$1000)</f>
        <v>0</v>
      </c>
      <c r="G56" s="5">
        <f>SUMIF(Jun!$G$2:$G$1000,'2024 Summary'!A56,Jun!$H$2:$H$1000)</f>
        <v>0</v>
      </c>
      <c r="H56" s="5">
        <f>SUMIF(Jul!$G$2:$G$1000,'2024 Summary'!A56,Jul!$H$2:$H$1000)</f>
        <v>0</v>
      </c>
      <c r="I56" s="5">
        <f>SUMIF(Aug!$G$2:$G$1000,'2024 Summary'!A56,Aug!$H$2:$H$1000)</f>
        <v>0</v>
      </c>
      <c r="J56" s="5">
        <f>SUMIF(Sep!$G$2:$G$1000,'2024 Summary'!A56,Sep!$H$2:$H$1000)</f>
        <v>0</v>
      </c>
      <c r="K56" s="5">
        <f>SUMIF(Oct!$G$2:$G$1000,'2024 Summary'!A56,Oct!$H$2:$H$1000)</f>
        <v>0</v>
      </c>
      <c r="L56" s="5">
        <f>SUMIF(Nov!$G$2:$G$1000,'2024 Summary'!A56,Nov!$H$2:$H$1000)</f>
        <v>0</v>
      </c>
      <c r="M56" s="5">
        <f>SUMIF(Dec!$G$2:$G$1000,'2024 Summary'!A56,Dec!$H$2:$H$1000)</f>
        <v>0</v>
      </c>
      <c r="AA56" s="13">
        <f>Jan!G55</f>
        <v>0</v>
      </c>
    </row>
    <row r="57" spans="2:27" x14ac:dyDescent="0.25">
      <c r="B57" s="5">
        <f>SUMIF(Jan!$G$2:$G$1000,'2024 Summary'!A57,Jan!$H$2:$H$1000)</f>
        <v>0</v>
      </c>
      <c r="C57" s="5">
        <f>SUMIF(Feb!$G$2:$G$1000,'2024 Summary'!A57,Feb!$H$2:$H$1000)</f>
        <v>0</v>
      </c>
      <c r="D57" s="5">
        <f>SUMIF(Mar!$G$2:$G$1000,'2024 Summary'!A57,Mar!$H$2:$H$1000)</f>
        <v>0</v>
      </c>
      <c r="E57" s="5">
        <f>SUMIF(Apr!$G$2:$G$1000,'2024 Summary'!A57,Apr!$H$2:$H$1000)</f>
        <v>0</v>
      </c>
      <c r="F57" s="5">
        <f>SUMIF(May!$G$2:$G$1000,'2024 Summary'!A57,May!$H$2:$H$1000)</f>
        <v>0</v>
      </c>
      <c r="G57" s="5">
        <f>SUMIF(Jun!$G$2:$G$1000,'2024 Summary'!A57,Jun!$H$2:$H$1000)</f>
        <v>0</v>
      </c>
      <c r="H57" s="5">
        <f>SUMIF(Jul!$G$2:$G$1000,'2024 Summary'!A57,Jul!$H$2:$H$1000)</f>
        <v>0</v>
      </c>
      <c r="I57" s="5">
        <f>SUMIF(Aug!$G$2:$G$1000,'2024 Summary'!A57,Aug!$H$2:$H$1000)</f>
        <v>0</v>
      </c>
      <c r="J57" s="5">
        <f>SUMIF(Sep!$G$2:$G$1000,'2024 Summary'!A57,Sep!$H$2:$H$1000)</f>
        <v>0</v>
      </c>
      <c r="K57" s="5">
        <f>SUMIF(Oct!$G$2:$G$1000,'2024 Summary'!A57,Oct!$H$2:$H$1000)</f>
        <v>0</v>
      </c>
      <c r="L57" s="5">
        <f>SUMIF(Nov!$G$2:$G$1000,'2024 Summary'!A57,Nov!$H$2:$H$1000)</f>
        <v>0</v>
      </c>
      <c r="M57" s="5">
        <f>SUMIF(Dec!$G$2:$G$1000,'2024 Summary'!A57,Dec!$H$2:$H$1000)</f>
        <v>0</v>
      </c>
      <c r="AA57" s="13">
        <f>Jan!G56</f>
        <v>0</v>
      </c>
    </row>
    <row r="58" spans="2:27" x14ac:dyDescent="0.25">
      <c r="B58" s="5">
        <f>SUMIF(Jan!$G$2:$G$1000,'2024 Summary'!A58,Jan!$H$2:$H$1000)</f>
        <v>0</v>
      </c>
      <c r="C58" s="5">
        <f>SUMIF(Feb!$G$2:$G$1000,'2024 Summary'!A58,Feb!$H$2:$H$1000)</f>
        <v>0</v>
      </c>
      <c r="D58" s="5">
        <f>SUMIF(Mar!$G$2:$G$1000,'2024 Summary'!A58,Mar!$H$2:$H$1000)</f>
        <v>0</v>
      </c>
      <c r="E58" s="5">
        <f>SUMIF(Apr!$G$2:$G$1000,'2024 Summary'!A58,Apr!$H$2:$H$1000)</f>
        <v>0</v>
      </c>
      <c r="F58" s="5">
        <f>SUMIF(May!$G$2:$G$1000,'2024 Summary'!A58,May!$H$2:$H$1000)</f>
        <v>0</v>
      </c>
      <c r="G58" s="5">
        <f>SUMIF(Jun!$G$2:$G$1000,'2024 Summary'!A58,Jun!$H$2:$H$1000)</f>
        <v>0</v>
      </c>
      <c r="H58" s="5">
        <f>SUMIF(Jul!$G$2:$G$1000,'2024 Summary'!A58,Jul!$H$2:$H$1000)</f>
        <v>0</v>
      </c>
      <c r="I58" s="5">
        <f>SUMIF(Aug!$G$2:$G$1000,'2024 Summary'!A58,Aug!$H$2:$H$1000)</f>
        <v>0</v>
      </c>
      <c r="J58" s="5">
        <f>SUMIF(Sep!$G$2:$G$1000,'2024 Summary'!A58,Sep!$H$2:$H$1000)</f>
        <v>0</v>
      </c>
      <c r="K58" s="5">
        <f>SUMIF(Oct!$G$2:$G$1000,'2024 Summary'!A58,Oct!$H$2:$H$1000)</f>
        <v>0</v>
      </c>
      <c r="L58" s="5">
        <f>SUMIF(Nov!$G$2:$G$1000,'2024 Summary'!A58,Nov!$H$2:$H$1000)</f>
        <v>0</v>
      </c>
      <c r="M58" s="5">
        <f>SUMIF(Dec!$G$2:$G$1000,'2024 Summary'!A58,Dec!$H$2:$H$1000)</f>
        <v>0</v>
      </c>
      <c r="AA58" s="13">
        <f>Jan!G57</f>
        <v>0</v>
      </c>
    </row>
    <row r="59" spans="2:27" x14ac:dyDescent="0.25">
      <c r="B59" s="5">
        <f>SUMIF(Jan!$G$2:$G$1000,'2024 Summary'!A59,Jan!$H$2:$H$1000)</f>
        <v>0</v>
      </c>
      <c r="C59" s="5">
        <f>SUMIF(Feb!$G$2:$G$1000,'2024 Summary'!A59,Feb!$H$2:$H$1000)</f>
        <v>0</v>
      </c>
      <c r="D59" s="5">
        <f>SUMIF(Mar!$G$2:$G$1000,'2024 Summary'!A59,Mar!$H$2:$H$1000)</f>
        <v>0</v>
      </c>
      <c r="E59" s="5">
        <f>SUMIF(Apr!$G$2:$G$1000,'2024 Summary'!A59,Apr!$H$2:$H$1000)</f>
        <v>0</v>
      </c>
      <c r="F59" s="5">
        <f>SUMIF(May!$G$2:$G$1000,'2024 Summary'!A59,May!$H$2:$H$1000)</f>
        <v>0</v>
      </c>
      <c r="G59" s="5">
        <f>SUMIF(Jun!$G$2:$G$1000,'2024 Summary'!A59,Jun!$H$2:$H$1000)</f>
        <v>0</v>
      </c>
      <c r="H59" s="5">
        <f>SUMIF(Jul!$G$2:$G$1000,'2024 Summary'!A59,Jul!$H$2:$H$1000)</f>
        <v>0</v>
      </c>
      <c r="I59" s="5">
        <f>SUMIF(Aug!$G$2:$G$1000,'2024 Summary'!A59,Aug!$H$2:$H$1000)</f>
        <v>0</v>
      </c>
      <c r="J59" s="5">
        <f>SUMIF(Sep!$G$2:$G$1000,'2024 Summary'!A59,Sep!$H$2:$H$1000)</f>
        <v>0</v>
      </c>
      <c r="K59" s="5">
        <f>SUMIF(Oct!$G$2:$G$1000,'2024 Summary'!A59,Oct!$H$2:$H$1000)</f>
        <v>0</v>
      </c>
      <c r="L59" s="5">
        <f>SUMIF(Nov!$G$2:$G$1000,'2024 Summary'!A59,Nov!$H$2:$H$1000)</f>
        <v>0</v>
      </c>
      <c r="M59" s="5">
        <f>SUMIF(Dec!$G$2:$G$1000,'2024 Summary'!A59,Dec!$H$2:$H$1000)</f>
        <v>0</v>
      </c>
      <c r="AA59" s="13">
        <f>Jan!G58</f>
        <v>0</v>
      </c>
    </row>
    <row r="60" spans="2:27" x14ac:dyDescent="0.25">
      <c r="B60" s="5">
        <f>SUMIF(Jan!$G$2:$G$1000,'2024 Summary'!A60,Jan!$H$2:$H$1000)</f>
        <v>0</v>
      </c>
      <c r="C60" s="5">
        <f>SUMIF(Feb!$G$2:$G$1000,'2024 Summary'!A60,Feb!$H$2:$H$1000)</f>
        <v>0</v>
      </c>
      <c r="D60" s="5">
        <f>SUMIF(Mar!$G$2:$G$1000,'2024 Summary'!A60,Mar!$H$2:$H$1000)</f>
        <v>0</v>
      </c>
      <c r="E60" s="5">
        <f>SUMIF(Apr!$G$2:$G$1000,'2024 Summary'!A60,Apr!$H$2:$H$1000)</f>
        <v>0</v>
      </c>
      <c r="F60" s="5">
        <f>SUMIF(May!$G$2:$G$1000,'2024 Summary'!A60,May!$H$2:$H$1000)</f>
        <v>0</v>
      </c>
      <c r="G60" s="5">
        <f>SUMIF(Jun!$G$2:$G$1000,'2024 Summary'!A60,Jun!$H$2:$H$1000)</f>
        <v>0</v>
      </c>
      <c r="H60" s="5">
        <f>SUMIF(Jul!$G$2:$G$1000,'2024 Summary'!A60,Jul!$H$2:$H$1000)</f>
        <v>0</v>
      </c>
      <c r="I60" s="5">
        <f>SUMIF(Aug!$G$2:$G$1000,'2024 Summary'!A60,Aug!$H$2:$H$1000)</f>
        <v>0</v>
      </c>
      <c r="J60" s="5">
        <f>SUMIF(Sep!$G$2:$G$1000,'2024 Summary'!A60,Sep!$H$2:$H$1000)</f>
        <v>0</v>
      </c>
      <c r="K60" s="5">
        <f>SUMIF(Oct!$G$2:$G$1000,'2024 Summary'!A60,Oct!$H$2:$H$1000)</f>
        <v>0</v>
      </c>
      <c r="L60" s="5">
        <f>SUMIF(Nov!$G$2:$G$1000,'2024 Summary'!A60,Nov!$H$2:$H$1000)</f>
        <v>0</v>
      </c>
      <c r="M60" s="5">
        <f>SUMIF(Dec!$G$2:$G$1000,'2024 Summary'!A60,Dec!$H$2:$H$1000)</f>
        <v>0</v>
      </c>
      <c r="S60" s="4"/>
      <c r="AA60" s="13">
        <f>Jan!G59</f>
        <v>0</v>
      </c>
    </row>
    <row r="61" spans="2:27" x14ac:dyDescent="0.25">
      <c r="B61" s="5">
        <f>SUMIF(Jan!$G$2:$G$1000,'2024 Summary'!A61,Jan!$H$2:$H$1000)</f>
        <v>0</v>
      </c>
      <c r="C61" s="5">
        <f>SUMIF(Feb!$G$2:$G$1000,'2024 Summary'!A61,Feb!$H$2:$H$1000)</f>
        <v>0</v>
      </c>
      <c r="D61" s="5">
        <f>SUMIF(Mar!$G$2:$G$1000,'2024 Summary'!A61,Mar!$H$2:$H$1000)</f>
        <v>0</v>
      </c>
      <c r="E61" s="5">
        <f>SUMIF(Apr!$G$2:$G$1000,'2024 Summary'!A61,Apr!$H$2:$H$1000)</f>
        <v>0</v>
      </c>
      <c r="F61" s="5">
        <f>SUMIF(May!$G$2:$G$1000,'2024 Summary'!A61,May!$H$2:$H$1000)</f>
        <v>0</v>
      </c>
      <c r="G61" s="5">
        <f>SUMIF(Jun!$G$2:$G$1000,'2024 Summary'!A61,Jun!$H$2:$H$1000)</f>
        <v>0</v>
      </c>
      <c r="H61" s="5">
        <f>SUMIF(Jul!$G$2:$G$1000,'2024 Summary'!A61,Jul!$H$2:$H$1000)</f>
        <v>0</v>
      </c>
      <c r="I61" s="5">
        <f>SUMIF(Aug!$G$2:$G$1000,'2024 Summary'!A61,Aug!$H$2:$H$1000)</f>
        <v>0</v>
      </c>
      <c r="J61" s="5">
        <f>SUMIF(Sep!$G$2:$G$1000,'2024 Summary'!A61,Sep!$H$2:$H$1000)</f>
        <v>0</v>
      </c>
      <c r="K61" s="5">
        <f>SUMIF(Oct!$G$2:$G$1000,'2024 Summary'!A61,Oct!$H$2:$H$1000)</f>
        <v>0</v>
      </c>
      <c r="L61" s="5">
        <f>SUMIF(Nov!$G$2:$G$1000,'2024 Summary'!A61,Nov!$H$2:$H$1000)</f>
        <v>0</v>
      </c>
      <c r="M61" s="5">
        <f>SUMIF(Dec!$G$2:$G$1000,'2024 Summary'!A61,Dec!$H$2:$H$1000)</f>
        <v>0</v>
      </c>
      <c r="S61" s="4"/>
      <c r="AA61" s="13">
        <f>Jan!G60</f>
        <v>0</v>
      </c>
    </row>
    <row r="62" spans="2:27" x14ac:dyDescent="0.25">
      <c r="B62" s="5">
        <f>SUMIF(Jan!$G$2:$G$1000,'2024 Summary'!A62,Jan!$H$2:$H$1000)</f>
        <v>0</v>
      </c>
      <c r="C62" s="5">
        <f>SUMIF(Feb!$G$2:$G$1000,'2024 Summary'!A62,Feb!$H$2:$H$1000)</f>
        <v>0</v>
      </c>
      <c r="D62" s="5">
        <f>SUMIF(Mar!$G$2:$G$1000,'2024 Summary'!A62,Mar!$H$2:$H$1000)</f>
        <v>0</v>
      </c>
      <c r="E62" s="5">
        <f>SUMIF(Apr!$G$2:$G$1000,'2024 Summary'!A62,Apr!$H$2:$H$1000)</f>
        <v>0</v>
      </c>
      <c r="F62" s="5">
        <f>SUMIF(May!$G$2:$G$1000,'2024 Summary'!A62,May!$H$2:$H$1000)</f>
        <v>0</v>
      </c>
      <c r="G62" s="5">
        <f>SUMIF(Jun!$G$2:$G$1000,'2024 Summary'!A62,Jun!$H$2:$H$1000)</f>
        <v>0</v>
      </c>
      <c r="H62" s="5">
        <f>SUMIF(Jul!$G$2:$G$1000,'2024 Summary'!A62,Jul!$H$2:$H$1000)</f>
        <v>0</v>
      </c>
      <c r="I62" s="5">
        <f>SUMIF(Aug!$G$2:$G$1000,'2024 Summary'!A62,Aug!$H$2:$H$1000)</f>
        <v>0</v>
      </c>
      <c r="J62" s="5">
        <f>SUMIF(Sep!$G$2:$G$1000,'2024 Summary'!A62,Sep!$H$2:$H$1000)</f>
        <v>0</v>
      </c>
      <c r="K62" s="5">
        <f>SUMIF(Oct!$G$2:$G$1000,'2024 Summary'!A62,Oct!$H$2:$H$1000)</f>
        <v>0</v>
      </c>
      <c r="L62" s="5">
        <f>SUMIF(Nov!$G$2:$G$1000,'2024 Summary'!A62,Nov!$H$2:$H$1000)</f>
        <v>0</v>
      </c>
      <c r="M62" s="5">
        <f>SUMIF(Dec!$G$2:$G$1000,'2024 Summary'!A62,Dec!$H$2:$H$1000)</f>
        <v>0</v>
      </c>
      <c r="S62" s="4"/>
      <c r="AA62" s="13">
        <f>Jan!G61</f>
        <v>0</v>
      </c>
    </row>
    <row r="63" spans="2:27" x14ac:dyDescent="0.25">
      <c r="B63" s="5">
        <f>SUMIF(Jan!$G$2:$G$1000,'2024 Summary'!A63,Jan!$H$2:$H$1000)</f>
        <v>0</v>
      </c>
      <c r="C63" s="5">
        <f>SUMIF(Feb!$G$2:$G$1000,'2024 Summary'!A63,Feb!$H$2:$H$1000)</f>
        <v>0</v>
      </c>
      <c r="D63" s="5">
        <f>SUMIF(Mar!$G$2:$G$1000,'2024 Summary'!A63,Mar!$H$2:$H$1000)</f>
        <v>0</v>
      </c>
      <c r="E63" s="5">
        <f>SUMIF(Apr!$G$2:$G$1000,'2024 Summary'!A63,Apr!$H$2:$H$1000)</f>
        <v>0</v>
      </c>
      <c r="F63" s="5">
        <f>SUMIF(May!$G$2:$G$1000,'2024 Summary'!A63,May!$H$2:$H$1000)</f>
        <v>0</v>
      </c>
      <c r="G63" s="5">
        <f>SUMIF(Jun!$G$2:$G$1000,'2024 Summary'!A63,Jun!$H$2:$H$1000)</f>
        <v>0</v>
      </c>
      <c r="H63" s="5">
        <f>SUMIF(Jul!$G$2:$G$1000,'2024 Summary'!A63,Jul!$H$2:$H$1000)</f>
        <v>0</v>
      </c>
      <c r="I63" s="5">
        <f>SUMIF(Aug!$G$2:$G$1000,'2024 Summary'!A63,Aug!$H$2:$H$1000)</f>
        <v>0</v>
      </c>
      <c r="J63" s="5">
        <f>SUMIF(Sep!$G$2:$G$1000,'2024 Summary'!A63,Sep!$H$2:$H$1000)</f>
        <v>0</v>
      </c>
      <c r="K63" s="5">
        <f>SUMIF(Oct!$G$2:$G$1000,'2024 Summary'!A63,Oct!$H$2:$H$1000)</f>
        <v>0</v>
      </c>
      <c r="L63" s="5">
        <f>SUMIF(Nov!$G$2:$G$1000,'2024 Summary'!A63,Nov!$H$2:$H$1000)</f>
        <v>0</v>
      </c>
      <c r="M63" s="5">
        <f>SUMIF(Dec!$G$2:$G$1000,'2024 Summary'!A63,Dec!$H$2:$H$1000)</f>
        <v>0</v>
      </c>
      <c r="AA63" s="13">
        <f>Jan!G62</f>
        <v>0</v>
      </c>
    </row>
    <row r="64" spans="2:27" x14ac:dyDescent="0.25">
      <c r="B64" s="5">
        <f>SUMIF(Jan!$G$2:$G$1000,'2024 Summary'!A64,Jan!$H$2:$H$1000)</f>
        <v>0</v>
      </c>
      <c r="C64" s="5">
        <f>SUMIF(Feb!$G$2:$G$1000,'2024 Summary'!A64,Feb!$H$2:$H$1000)</f>
        <v>0</v>
      </c>
      <c r="D64" s="5">
        <f>SUMIF(Mar!$G$2:$G$1000,'2024 Summary'!A64,Mar!$H$2:$H$1000)</f>
        <v>0</v>
      </c>
      <c r="E64" s="5">
        <f>SUMIF(Apr!$G$2:$G$1000,'2024 Summary'!A64,Apr!$H$2:$H$1000)</f>
        <v>0</v>
      </c>
      <c r="F64" s="5">
        <f>SUMIF(May!$G$2:$G$1000,'2024 Summary'!A64,May!$H$2:$H$1000)</f>
        <v>0</v>
      </c>
      <c r="G64" s="5">
        <f>SUMIF(Jun!$G$2:$G$1000,'2024 Summary'!A64,Jun!$H$2:$H$1000)</f>
        <v>0</v>
      </c>
      <c r="H64" s="5">
        <f>SUMIF(Jul!$G$2:$G$1000,'2024 Summary'!A64,Jul!$H$2:$H$1000)</f>
        <v>0</v>
      </c>
      <c r="I64" s="5">
        <f>SUMIF(Aug!$G$2:$G$1000,'2024 Summary'!A64,Aug!$H$2:$H$1000)</f>
        <v>0</v>
      </c>
      <c r="J64" s="5">
        <f>SUMIF(Sep!$G$2:$G$1000,'2024 Summary'!A64,Sep!$H$2:$H$1000)</f>
        <v>0</v>
      </c>
      <c r="K64" s="5">
        <f>SUMIF(Oct!$G$2:$G$1000,'2024 Summary'!A64,Oct!$H$2:$H$1000)</f>
        <v>0</v>
      </c>
      <c r="L64" s="5">
        <f>SUMIF(Nov!$G$2:$G$1000,'2024 Summary'!A64,Nov!$H$2:$H$1000)</f>
        <v>0</v>
      </c>
      <c r="M64" s="5">
        <f>SUMIF(Dec!$G$2:$G$1000,'2024 Summary'!A64,Dec!$H$2:$H$1000)</f>
        <v>0</v>
      </c>
      <c r="AA64" s="13">
        <f>Jan!G63</f>
        <v>0</v>
      </c>
    </row>
    <row r="65" spans="2:27" x14ac:dyDescent="0.25">
      <c r="B65" s="5">
        <f>SUMIF(Jan!$G$2:$G$1000,'2024 Summary'!A65,Jan!$H$2:$H$1000)</f>
        <v>0</v>
      </c>
      <c r="C65" s="5">
        <f>SUMIF(Feb!$G$2:$G$1000,'2024 Summary'!A65,Feb!$H$2:$H$1000)</f>
        <v>0</v>
      </c>
      <c r="D65" s="5">
        <f>SUMIF(Mar!$G$2:$G$1000,'2024 Summary'!A65,Mar!$H$2:$H$1000)</f>
        <v>0</v>
      </c>
      <c r="E65" s="5">
        <f>SUMIF(Apr!$G$2:$G$1000,'2024 Summary'!A65,Apr!$H$2:$H$1000)</f>
        <v>0</v>
      </c>
      <c r="F65" s="5">
        <f>SUMIF(May!$G$2:$G$1000,'2024 Summary'!A65,May!$H$2:$H$1000)</f>
        <v>0</v>
      </c>
      <c r="G65" s="5">
        <f>SUMIF(Jun!$G$2:$G$1000,'2024 Summary'!A65,Jun!$H$2:$H$1000)</f>
        <v>0</v>
      </c>
      <c r="H65" s="5">
        <f>SUMIF(Jul!$G$2:$G$1000,'2024 Summary'!A65,Jul!$H$2:$H$1000)</f>
        <v>0</v>
      </c>
      <c r="I65" s="5">
        <f>SUMIF(Aug!$G$2:$G$1000,'2024 Summary'!A65,Aug!$H$2:$H$1000)</f>
        <v>0</v>
      </c>
      <c r="J65" s="5">
        <f>SUMIF(Sep!$G$2:$G$1000,'2024 Summary'!A65,Sep!$H$2:$H$1000)</f>
        <v>0</v>
      </c>
      <c r="K65" s="5">
        <f>SUMIF(Oct!$G$2:$G$1000,'2024 Summary'!A65,Oct!$H$2:$H$1000)</f>
        <v>0</v>
      </c>
      <c r="L65" s="5">
        <f>SUMIF(Nov!$G$2:$G$1000,'2024 Summary'!A65,Nov!$H$2:$H$1000)</f>
        <v>0</v>
      </c>
      <c r="M65" s="5">
        <f>SUMIF(Dec!$G$2:$G$1000,'2024 Summary'!A65,Dec!$H$2:$H$1000)</f>
        <v>0</v>
      </c>
      <c r="AA65" s="13">
        <f>Jan!G64</f>
        <v>0</v>
      </c>
    </row>
    <row r="66" spans="2:27" x14ac:dyDescent="0.25">
      <c r="B66" s="5">
        <f>SUMIF(Jan!$G$2:$G$1000,'2024 Summary'!A66,Jan!$H$2:$H$1000)</f>
        <v>0</v>
      </c>
      <c r="C66" s="5">
        <f>SUMIF(Feb!$G$2:$G$1000,'2024 Summary'!A66,Feb!$H$2:$H$1000)</f>
        <v>0</v>
      </c>
      <c r="D66" s="5">
        <f>SUMIF(Mar!$G$2:$G$1000,'2024 Summary'!A66,Mar!$H$2:$H$1000)</f>
        <v>0</v>
      </c>
      <c r="E66" s="5">
        <f>SUMIF(Apr!$G$2:$G$1000,'2024 Summary'!A66,Apr!$H$2:$H$1000)</f>
        <v>0</v>
      </c>
      <c r="F66" s="5">
        <f>SUMIF(May!$G$2:$G$1000,'2024 Summary'!A66,May!$H$2:$H$1000)</f>
        <v>0</v>
      </c>
      <c r="G66" s="5">
        <f>SUMIF(Jun!$G$2:$G$1000,'2024 Summary'!A66,Jun!$H$2:$H$1000)</f>
        <v>0</v>
      </c>
      <c r="H66" s="5">
        <f>SUMIF(Jul!$G$2:$G$1000,'2024 Summary'!A66,Jul!$H$2:$H$1000)</f>
        <v>0</v>
      </c>
      <c r="I66" s="5">
        <f>SUMIF(Aug!$G$2:$G$1000,'2024 Summary'!A66,Aug!$H$2:$H$1000)</f>
        <v>0</v>
      </c>
      <c r="J66" s="5">
        <f>SUMIF(Sep!$G$2:$G$1000,'2024 Summary'!A66,Sep!$H$2:$H$1000)</f>
        <v>0</v>
      </c>
      <c r="K66" s="5">
        <f>SUMIF(Oct!$G$2:$G$1000,'2024 Summary'!A66,Oct!$H$2:$H$1000)</f>
        <v>0</v>
      </c>
      <c r="L66" s="5">
        <f>SUMIF(Nov!$G$2:$G$1000,'2024 Summary'!A66,Nov!$H$2:$H$1000)</f>
        <v>0</v>
      </c>
      <c r="M66" s="5">
        <f>SUMIF(Dec!$G$2:$G$1000,'2024 Summary'!A66,Dec!$H$2:$H$1000)</f>
        <v>0</v>
      </c>
      <c r="AA66" s="13">
        <f>Jan!G65</f>
        <v>0</v>
      </c>
    </row>
    <row r="67" spans="2:27" x14ac:dyDescent="0.25">
      <c r="B67" s="5">
        <f>SUMIF(Jan!$G$2:$G$1000,'2024 Summary'!A67,Jan!$H$2:$H$1000)</f>
        <v>0</v>
      </c>
      <c r="C67" s="5">
        <f>SUMIF(Feb!$G$2:$G$1000,'2024 Summary'!A67,Feb!$H$2:$H$1000)</f>
        <v>0</v>
      </c>
      <c r="D67" s="5">
        <f>SUMIF(Mar!$G$2:$G$1000,'2024 Summary'!A67,Mar!$H$2:$H$1000)</f>
        <v>0</v>
      </c>
      <c r="E67" s="5">
        <f>SUMIF(Apr!$G$2:$G$1000,'2024 Summary'!A67,Apr!$H$2:$H$1000)</f>
        <v>0</v>
      </c>
      <c r="F67" s="5">
        <f>SUMIF(May!$G$2:$G$1000,'2024 Summary'!A67,May!$H$2:$H$1000)</f>
        <v>0</v>
      </c>
      <c r="G67" s="5">
        <f>SUMIF(Jun!$G$2:$G$1000,'2024 Summary'!A67,Jun!$H$2:$H$1000)</f>
        <v>0</v>
      </c>
      <c r="H67" s="5">
        <f>SUMIF(Jul!$G$2:$G$1000,'2024 Summary'!A67,Jul!$H$2:$H$1000)</f>
        <v>0</v>
      </c>
      <c r="I67" s="5">
        <f>SUMIF(Aug!$G$2:$G$1000,'2024 Summary'!A67,Aug!$H$2:$H$1000)</f>
        <v>0</v>
      </c>
      <c r="J67" s="5">
        <f>SUMIF(Sep!$G$2:$G$1000,'2024 Summary'!A67,Sep!$H$2:$H$1000)</f>
        <v>0</v>
      </c>
      <c r="K67" s="5">
        <f>SUMIF(Oct!$G$2:$G$1000,'2024 Summary'!A67,Oct!$H$2:$H$1000)</f>
        <v>0</v>
      </c>
      <c r="L67" s="5">
        <f>SUMIF(Nov!$G$2:$G$1000,'2024 Summary'!A67,Nov!$H$2:$H$1000)</f>
        <v>0</v>
      </c>
      <c r="M67" s="5">
        <f>SUMIF(Dec!$G$2:$G$1000,'2024 Summary'!A67,Dec!$H$2:$H$1000)</f>
        <v>0</v>
      </c>
      <c r="AA67" s="13">
        <f>Jan!G66</f>
        <v>0</v>
      </c>
    </row>
    <row r="68" spans="2:27" x14ac:dyDescent="0.25">
      <c r="B68" s="5">
        <f>SUMIF(Jan!$G$2:$G$1000,'2024 Summary'!A68,Jan!$H$2:$H$1000)</f>
        <v>0</v>
      </c>
      <c r="C68" s="5">
        <f>SUMIF(Feb!$G$2:$G$1000,'2024 Summary'!A68,Feb!$H$2:$H$1000)</f>
        <v>0</v>
      </c>
      <c r="D68" s="5">
        <f>SUMIF(Mar!$G$2:$G$1000,'2024 Summary'!A68,Mar!$H$2:$H$1000)</f>
        <v>0</v>
      </c>
      <c r="E68" s="5">
        <f>SUMIF(Apr!$G$2:$G$1000,'2024 Summary'!A68,Apr!$H$2:$H$1000)</f>
        <v>0</v>
      </c>
      <c r="F68" s="5">
        <f>SUMIF(May!$G$2:$G$1000,'2024 Summary'!A68,May!$H$2:$H$1000)</f>
        <v>0</v>
      </c>
      <c r="G68" s="5">
        <f>SUMIF(Jun!$G$2:$G$1000,'2024 Summary'!A68,Jun!$H$2:$H$1000)</f>
        <v>0</v>
      </c>
      <c r="H68" s="5">
        <f>SUMIF(Jul!$G$2:$G$1000,'2024 Summary'!A68,Jul!$H$2:$H$1000)</f>
        <v>0</v>
      </c>
      <c r="I68" s="5">
        <f>SUMIF(Aug!$G$2:$G$1000,'2024 Summary'!A68,Aug!$H$2:$H$1000)</f>
        <v>0</v>
      </c>
      <c r="J68" s="5">
        <f>SUMIF(Sep!$G$2:$G$1000,'2024 Summary'!A68,Sep!$H$2:$H$1000)</f>
        <v>0</v>
      </c>
      <c r="K68" s="5">
        <f>SUMIF(Oct!$G$2:$G$1000,'2024 Summary'!A68,Oct!$H$2:$H$1000)</f>
        <v>0</v>
      </c>
      <c r="L68" s="5">
        <f>SUMIF(Nov!$G$2:$G$1000,'2024 Summary'!A68,Nov!$H$2:$H$1000)</f>
        <v>0</v>
      </c>
      <c r="M68" s="5">
        <f>SUMIF(Dec!$G$2:$G$1000,'2024 Summary'!A68,Dec!$H$2:$H$1000)</f>
        <v>0</v>
      </c>
      <c r="AA68" s="13">
        <f>Jan!G67</f>
        <v>0</v>
      </c>
    </row>
    <row r="69" spans="2:27" x14ac:dyDescent="0.25">
      <c r="B69" s="5">
        <f>SUMIF(Jan!$G$2:$G$1000,'2024 Summary'!A69,Jan!$H$2:$H$1000)</f>
        <v>0</v>
      </c>
      <c r="C69" s="5">
        <f>SUMIF(Feb!$G$2:$G$1000,'2024 Summary'!A69,Feb!$H$2:$H$1000)</f>
        <v>0</v>
      </c>
      <c r="D69" s="5">
        <f>SUMIF(Mar!$G$2:$G$1000,'2024 Summary'!A69,Mar!$H$2:$H$1000)</f>
        <v>0</v>
      </c>
      <c r="E69" s="5">
        <f>SUMIF(Apr!$G$2:$G$1000,'2024 Summary'!A69,Apr!$H$2:$H$1000)</f>
        <v>0</v>
      </c>
      <c r="F69" s="5">
        <f>SUMIF(May!$G$2:$G$1000,'2024 Summary'!A69,May!$H$2:$H$1000)</f>
        <v>0</v>
      </c>
      <c r="G69" s="5">
        <f>SUMIF(Jun!$G$2:$G$1000,'2024 Summary'!A69,Jun!$H$2:$H$1000)</f>
        <v>0</v>
      </c>
      <c r="H69" s="5">
        <f>SUMIF(Jul!$G$2:$G$1000,'2024 Summary'!A69,Jul!$H$2:$H$1000)</f>
        <v>0</v>
      </c>
      <c r="I69" s="5">
        <f>SUMIF(Aug!$G$2:$G$1000,'2024 Summary'!A69,Aug!$H$2:$H$1000)</f>
        <v>0</v>
      </c>
      <c r="J69" s="5">
        <f>SUMIF(Sep!$G$2:$G$1000,'2024 Summary'!A69,Sep!$H$2:$H$1000)</f>
        <v>0</v>
      </c>
      <c r="K69" s="5">
        <f>SUMIF(Oct!$G$2:$G$1000,'2024 Summary'!A69,Oct!$H$2:$H$1000)</f>
        <v>0</v>
      </c>
      <c r="L69" s="5">
        <f>SUMIF(Nov!$G$2:$G$1000,'2024 Summary'!A69,Nov!$H$2:$H$1000)</f>
        <v>0</v>
      </c>
      <c r="M69" s="5">
        <f>SUMIF(Dec!$G$2:$G$1000,'2024 Summary'!A69,Dec!$H$2:$H$1000)</f>
        <v>0</v>
      </c>
      <c r="AA69" s="13">
        <f>Jan!G68</f>
        <v>0</v>
      </c>
    </row>
    <row r="70" spans="2:27" x14ac:dyDescent="0.25">
      <c r="B70" s="5">
        <f>SUMIF(Jan!$G$2:$G$1000,'2024 Summary'!A70,Jan!$H$2:$H$1000)</f>
        <v>0</v>
      </c>
      <c r="C70" s="5">
        <f>SUMIF(Feb!$G$2:$G$1000,'2024 Summary'!A70,Feb!$H$2:$H$1000)</f>
        <v>0</v>
      </c>
      <c r="D70" s="5">
        <f>SUMIF(Mar!$G$2:$G$1000,'2024 Summary'!A70,Mar!$H$2:$H$1000)</f>
        <v>0</v>
      </c>
      <c r="E70" s="5">
        <f>SUMIF(Apr!$G$2:$G$1000,'2024 Summary'!A70,Apr!$H$2:$H$1000)</f>
        <v>0</v>
      </c>
      <c r="F70" s="5">
        <f>SUMIF(May!$G$2:$G$1000,'2024 Summary'!A70,May!$H$2:$H$1000)</f>
        <v>0</v>
      </c>
      <c r="G70" s="5">
        <f>SUMIF(Jun!$G$2:$G$1000,'2024 Summary'!A70,Jun!$H$2:$H$1000)</f>
        <v>0</v>
      </c>
      <c r="H70" s="5">
        <f>SUMIF(Jul!$G$2:$G$1000,'2024 Summary'!A70,Jul!$H$2:$H$1000)</f>
        <v>0</v>
      </c>
      <c r="I70" s="5">
        <f>SUMIF(Aug!$G$2:$G$1000,'2024 Summary'!A70,Aug!$H$2:$H$1000)</f>
        <v>0</v>
      </c>
      <c r="J70" s="5">
        <f>SUMIF(Sep!$G$2:$G$1000,'2024 Summary'!A70,Sep!$H$2:$H$1000)</f>
        <v>0</v>
      </c>
      <c r="K70" s="5">
        <f>SUMIF(Oct!$G$2:$G$1000,'2024 Summary'!A70,Oct!$H$2:$H$1000)</f>
        <v>0</v>
      </c>
      <c r="L70" s="5">
        <f>SUMIF(Nov!$G$2:$G$1000,'2024 Summary'!A70,Nov!$H$2:$H$1000)</f>
        <v>0</v>
      </c>
      <c r="M70" s="5">
        <f>SUMIF(Dec!$G$2:$G$1000,'2024 Summary'!A70,Dec!$H$2:$H$1000)</f>
        <v>0</v>
      </c>
      <c r="AA70" s="13">
        <f>Jan!G69</f>
        <v>0</v>
      </c>
    </row>
    <row r="71" spans="2:27" x14ac:dyDescent="0.25">
      <c r="B71" s="5">
        <f>SUMIF(Jan!$G$2:$G$1000,'2024 Summary'!A71,Jan!$H$2:$H$1000)</f>
        <v>0</v>
      </c>
      <c r="C71" s="5">
        <f>SUMIF(Feb!$G$2:$G$1000,'2024 Summary'!A71,Feb!$H$2:$H$1000)</f>
        <v>0</v>
      </c>
      <c r="D71" s="5">
        <f>SUMIF(Mar!$G$2:$G$1000,'2024 Summary'!A71,Mar!$H$2:$H$1000)</f>
        <v>0</v>
      </c>
      <c r="E71" s="5">
        <f>SUMIF(Apr!$G$2:$G$1000,'2024 Summary'!A71,Apr!$H$2:$H$1000)</f>
        <v>0</v>
      </c>
      <c r="F71" s="5">
        <f>SUMIF(May!$G$2:$G$1000,'2024 Summary'!A71,May!$H$2:$H$1000)</f>
        <v>0</v>
      </c>
      <c r="G71" s="5">
        <f>SUMIF(Jun!$G$2:$G$1000,'2024 Summary'!A71,Jun!$H$2:$H$1000)</f>
        <v>0</v>
      </c>
      <c r="H71" s="5">
        <f>SUMIF(Jul!$G$2:$G$1000,'2024 Summary'!A71,Jul!$H$2:$H$1000)</f>
        <v>0</v>
      </c>
      <c r="I71" s="5">
        <f>SUMIF(Aug!$G$2:$G$1000,'2024 Summary'!A71,Aug!$H$2:$H$1000)</f>
        <v>0</v>
      </c>
      <c r="J71" s="5">
        <f>SUMIF(Sep!$G$2:$G$1000,'2024 Summary'!A71,Sep!$H$2:$H$1000)</f>
        <v>0</v>
      </c>
      <c r="K71" s="5">
        <f>SUMIF(Oct!$G$2:$G$1000,'2024 Summary'!A71,Oct!$H$2:$H$1000)</f>
        <v>0</v>
      </c>
      <c r="L71" s="5">
        <f>SUMIF(Nov!$G$2:$G$1000,'2024 Summary'!A71,Nov!$H$2:$H$1000)</f>
        <v>0</v>
      </c>
      <c r="M71" s="5">
        <f>SUMIF(Dec!$G$2:$G$1000,'2024 Summary'!A71,Dec!$H$2:$H$1000)</f>
        <v>0</v>
      </c>
      <c r="AA71" s="13">
        <f>Jan!G70</f>
        <v>0</v>
      </c>
    </row>
    <row r="72" spans="2:27" x14ac:dyDescent="0.25">
      <c r="B72" s="5">
        <f>SUMIF(Jan!$G$2:$G$1000,'2024 Summary'!A72,Jan!$H$2:$H$1000)</f>
        <v>0</v>
      </c>
      <c r="C72" s="5">
        <f>SUMIF(Feb!$G$2:$G$1000,'2024 Summary'!A72,Feb!$H$2:$H$1000)</f>
        <v>0</v>
      </c>
      <c r="D72" s="5">
        <f>SUMIF(Mar!$G$2:$G$1000,'2024 Summary'!A72,Mar!$H$2:$H$1000)</f>
        <v>0</v>
      </c>
      <c r="E72" s="5">
        <f>SUMIF(Apr!$G$2:$G$1000,'2024 Summary'!A72,Apr!$H$2:$H$1000)</f>
        <v>0</v>
      </c>
      <c r="F72" s="5">
        <f>SUMIF(May!$G$2:$G$1000,'2024 Summary'!A72,May!$H$2:$H$1000)</f>
        <v>0</v>
      </c>
      <c r="G72" s="5">
        <f>SUMIF(Jun!$G$2:$G$1000,'2024 Summary'!A72,Jun!$H$2:$H$1000)</f>
        <v>0</v>
      </c>
      <c r="H72" s="5">
        <f>SUMIF(Jul!$G$2:$G$1000,'2024 Summary'!A72,Jul!$H$2:$H$1000)</f>
        <v>0</v>
      </c>
      <c r="I72" s="5">
        <f>SUMIF(Aug!$G$2:$G$1000,'2024 Summary'!A72,Aug!$H$2:$H$1000)</f>
        <v>0</v>
      </c>
      <c r="J72" s="5">
        <f>SUMIF(Sep!$G$2:$G$1000,'2024 Summary'!A72,Sep!$H$2:$H$1000)</f>
        <v>0</v>
      </c>
      <c r="K72" s="5">
        <f>SUMIF(Oct!$G$2:$G$1000,'2024 Summary'!A72,Oct!$H$2:$H$1000)</f>
        <v>0</v>
      </c>
      <c r="L72" s="5">
        <f>SUMIF(Nov!$G$2:$G$1000,'2024 Summary'!A72,Nov!$H$2:$H$1000)</f>
        <v>0</v>
      </c>
      <c r="M72" s="5">
        <f>SUMIF(Dec!$G$2:$G$1000,'2024 Summary'!A72,Dec!$H$2:$H$1000)</f>
        <v>0</v>
      </c>
      <c r="AA72" s="13">
        <f>Jan!G71</f>
        <v>0</v>
      </c>
    </row>
    <row r="73" spans="2:27" x14ac:dyDescent="0.25">
      <c r="B73" s="5">
        <f>SUMIF(Jan!$G$2:$G$1000,'2024 Summary'!A73,Jan!$H$2:$H$1000)</f>
        <v>0</v>
      </c>
      <c r="C73" s="5">
        <f>SUMIF(Feb!$G$2:$G$1000,'2024 Summary'!A73,Feb!$H$2:$H$1000)</f>
        <v>0</v>
      </c>
      <c r="D73" s="5">
        <f>SUMIF(Mar!$G$2:$G$1000,'2024 Summary'!A73,Mar!$H$2:$H$1000)</f>
        <v>0</v>
      </c>
      <c r="E73" s="5">
        <f>SUMIF(Apr!$G$2:$G$1000,'2024 Summary'!A73,Apr!$H$2:$H$1000)</f>
        <v>0</v>
      </c>
      <c r="F73" s="5">
        <f>SUMIF(May!$G$2:$G$1000,'2024 Summary'!A73,May!$H$2:$H$1000)</f>
        <v>0</v>
      </c>
      <c r="G73" s="5">
        <f>SUMIF(Jun!$G$2:$G$1000,'2024 Summary'!A73,Jun!$H$2:$H$1000)</f>
        <v>0</v>
      </c>
      <c r="H73" s="5">
        <f>SUMIF(Jul!$G$2:$G$1000,'2024 Summary'!A73,Jul!$H$2:$H$1000)</f>
        <v>0</v>
      </c>
      <c r="I73" s="5">
        <f>SUMIF(Aug!$G$2:$G$1000,'2024 Summary'!A73,Aug!$H$2:$H$1000)</f>
        <v>0</v>
      </c>
      <c r="J73" s="5">
        <f>SUMIF(Sep!$G$2:$G$1000,'2024 Summary'!A73,Sep!$H$2:$H$1000)</f>
        <v>0</v>
      </c>
      <c r="K73" s="5">
        <f>SUMIF(Oct!$G$2:$G$1000,'2024 Summary'!A73,Oct!$H$2:$H$1000)</f>
        <v>0</v>
      </c>
      <c r="L73" s="5">
        <f>SUMIF(Nov!$G$2:$G$1000,'2024 Summary'!A73,Nov!$H$2:$H$1000)</f>
        <v>0</v>
      </c>
      <c r="M73" s="5">
        <f>SUMIF(Dec!$G$2:$G$1000,'2024 Summary'!A73,Dec!$H$2:$H$1000)</f>
        <v>0</v>
      </c>
      <c r="AA73" s="13">
        <f>Jan!G72</f>
        <v>0</v>
      </c>
    </row>
    <row r="74" spans="2:27" x14ac:dyDescent="0.25">
      <c r="B74" s="5">
        <f>SUMIF(Jan!$G$2:$G$1000,'2024 Summary'!A74,Jan!$H$2:$H$1000)</f>
        <v>0</v>
      </c>
      <c r="C74" s="5">
        <f>SUMIF(Feb!$G$2:$G$1000,'2024 Summary'!A74,Feb!$H$2:$H$1000)</f>
        <v>0</v>
      </c>
      <c r="D74" s="5">
        <f>SUMIF(Mar!$G$2:$G$1000,'2024 Summary'!A74,Mar!$H$2:$H$1000)</f>
        <v>0</v>
      </c>
      <c r="E74" s="5">
        <f>SUMIF(Apr!$G$2:$G$1000,'2024 Summary'!A74,Apr!$H$2:$H$1000)</f>
        <v>0</v>
      </c>
      <c r="F74" s="5">
        <f>SUMIF(May!$G$2:$G$1000,'2024 Summary'!A74,May!$H$2:$H$1000)</f>
        <v>0</v>
      </c>
      <c r="G74" s="5">
        <f>SUMIF(Jun!$G$2:$G$1000,'2024 Summary'!A74,Jun!$H$2:$H$1000)</f>
        <v>0</v>
      </c>
      <c r="H74" s="5">
        <f>SUMIF(Jul!$G$2:$G$1000,'2024 Summary'!A74,Jul!$H$2:$H$1000)</f>
        <v>0</v>
      </c>
      <c r="I74" s="5">
        <f>SUMIF(Aug!$G$2:$G$1000,'2024 Summary'!A74,Aug!$H$2:$H$1000)</f>
        <v>0</v>
      </c>
      <c r="J74" s="5">
        <f>SUMIF(Sep!$G$2:$G$1000,'2024 Summary'!A74,Sep!$H$2:$H$1000)</f>
        <v>0</v>
      </c>
      <c r="K74" s="5">
        <f>SUMIF(Oct!$G$2:$G$1000,'2024 Summary'!A74,Oct!$H$2:$H$1000)</f>
        <v>0</v>
      </c>
      <c r="L74" s="5">
        <f>SUMIF(Nov!$G$2:$G$1000,'2024 Summary'!A74,Nov!$H$2:$H$1000)</f>
        <v>0</v>
      </c>
      <c r="M74" s="5">
        <f>SUMIF(Dec!$G$2:$G$1000,'2024 Summary'!A74,Dec!$H$2:$H$1000)</f>
        <v>0</v>
      </c>
      <c r="AA74" s="13">
        <f>Jan!G73</f>
        <v>0</v>
      </c>
    </row>
    <row r="75" spans="2:27" x14ac:dyDescent="0.25">
      <c r="B75" s="5">
        <f>SUMIF(Jan!$G$2:$G$1000,'2024 Summary'!A75,Jan!$H$2:$H$1000)</f>
        <v>0</v>
      </c>
      <c r="C75" s="5">
        <f>SUMIF(Feb!$G$2:$G$1000,'2024 Summary'!A75,Feb!$H$2:$H$1000)</f>
        <v>0</v>
      </c>
      <c r="D75" s="5">
        <f>SUMIF(Mar!$G$2:$G$1000,'2024 Summary'!A75,Mar!$H$2:$H$1000)</f>
        <v>0</v>
      </c>
      <c r="E75" s="5">
        <f>SUMIF(Apr!$G$2:$G$1000,'2024 Summary'!A75,Apr!$H$2:$H$1000)</f>
        <v>0</v>
      </c>
      <c r="F75" s="5">
        <f>SUMIF(May!$G$2:$G$1000,'2024 Summary'!A75,May!$H$2:$H$1000)</f>
        <v>0</v>
      </c>
      <c r="G75" s="5">
        <f>SUMIF(Jun!$G$2:$G$1000,'2024 Summary'!A75,Jun!$H$2:$H$1000)</f>
        <v>0</v>
      </c>
      <c r="H75" s="5">
        <f>SUMIF(Jul!$G$2:$G$1000,'2024 Summary'!A75,Jul!$H$2:$H$1000)</f>
        <v>0</v>
      </c>
      <c r="I75" s="5">
        <f>SUMIF(Aug!$G$2:$G$1000,'2024 Summary'!A75,Aug!$H$2:$H$1000)</f>
        <v>0</v>
      </c>
      <c r="J75" s="5">
        <f>SUMIF(Sep!$G$2:$G$1000,'2024 Summary'!A75,Sep!$H$2:$H$1000)</f>
        <v>0</v>
      </c>
      <c r="K75" s="5">
        <f>SUMIF(Oct!$G$2:$G$1000,'2024 Summary'!A75,Oct!$H$2:$H$1000)</f>
        <v>0</v>
      </c>
      <c r="L75" s="5">
        <f>SUMIF(Nov!$G$2:$G$1000,'2024 Summary'!A75,Nov!$H$2:$H$1000)</f>
        <v>0</v>
      </c>
      <c r="M75" s="5">
        <f>SUMIF(Dec!$G$2:$G$1000,'2024 Summary'!A75,Dec!$H$2:$H$1000)</f>
        <v>0</v>
      </c>
      <c r="AA75" s="13">
        <f>Jan!G74</f>
        <v>0</v>
      </c>
    </row>
    <row r="76" spans="2:27" x14ac:dyDescent="0.25">
      <c r="B76" s="5">
        <f>SUMIF(Jan!$G$2:$G$1000,'2024 Summary'!A76,Jan!$H$2:$H$1000)</f>
        <v>0</v>
      </c>
      <c r="C76" s="5">
        <f>SUMIF(Feb!$G$2:$G$1000,'2024 Summary'!A76,Feb!$H$2:$H$1000)</f>
        <v>0</v>
      </c>
      <c r="D76" s="5">
        <f>SUMIF(Mar!$G$2:$G$1000,'2024 Summary'!A76,Mar!$H$2:$H$1000)</f>
        <v>0</v>
      </c>
      <c r="E76" s="5">
        <f>SUMIF(Apr!$G$2:$G$1000,'2024 Summary'!A76,Apr!$H$2:$H$1000)</f>
        <v>0</v>
      </c>
      <c r="F76" s="5">
        <f>SUMIF(May!$G$2:$G$1000,'2024 Summary'!A76,May!$H$2:$H$1000)</f>
        <v>0</v>
      </c>
      <c r="G76" s="5">
        <f>SUMIF(Jun!$G$2:$G$1000,'2024 Summary'!A76,Jun!$H$2:$H$1000)</f>
        <v>0</v>
      </c>
      <c r="H76" s="5">
        <f>SUMIF(Jul!$G$2:$G$1000,'2024 Summary'!A76,Jul!$H$2:$H$1000)</f>
        <v>0</v>
      </c>
      <c r="I76" s="5">
        <f>SUMIF(Aug!$G$2:$G$1000,'2024 Summary'!A76,Aug!$H$2:$H$1000)</f>
        <v>0</v>
      </c>
      <c r="J76" s="5">
        <f>SUMIF(Sep!$G$2:$G$1000,'2024 Summary'!A76,Sep!$H$2:$H$1000)</f>
        <v>0</v>
      </c>
      <c r="K76" s="5">
        <f>SUMIF(Oct!$G$2:$G$1000,'2024 Summary'!A76,Oct!$H$2:$H$1000)</f>
        <v>0</v>
      </c>
      <c r="L76" s="5">
        <f>SUMIF(Nov!$G$2:$G$1000,'2024 Summary'!A76,Nov!$H$2:$H$1000)</f>
        <v>0</v>
      </c>
      <c r="M76" s="5">
        <f>SUMIF(Dec!$G$2:$G$1000,'2024 Summary'!A76,Dec!$H$2:$H$1000)</f>
        <v>0</v>
      </c>
      <c r="AA76" s="13">
        <f>Jan!G75</f>
        <v>0</v>
      </c>
    </row>
    <row r="77" spans="2:27" x14ac:dyDescent="0.25">
      <c r="B77" s="5">
        <f>SUMIF(Jan!$G$2:$G$1000,'2024 Summary'!A77,Jan!$H$2:$H$1000)</f>
        <v>0</v>
      </c>
      <c r="C77" s="5">
        <f>SUMIF(Feb!$G$2:$G$1000,'2024 Summary'!A77,Feb!$H$2:$H$1000)</f>
        <v>0</v>
      </c>
      <c r="D77" s="5">
        <f>SUMIF(Mar!$G$2:$G$1000,'2024 Summary'!A77,Mar!$H$2:$H$1000)</f>
        <v>0</v>
      </c>
      <c r="E77" s="5">
        <f>SUMIF(Apr!$G$2:$G$1000,'2024 Summary'!A77,Apr!$H$2:$H$1000)</f>
        <v>0</v>
      </c>
      <c r="F77" s="5">
        <f>SUMIF(May!$G$2:$G$1000,'2024 Summary'!A77,May!$H$2:$H$1000)</f>
        <v>0</v>
      </c>
      <c r="G77" s="5">
        <f>SUMIF(Jun!$G$2:$G$1000,'2024 Summary'!A77,Jun!$H$2:$H$1000)</f>
        <v>0</v>
      </c>
      <c r="H77" s="5">
        <f>SUMIF(Jul!$G$2:$G$1000,'2024 Summary'!A77,Jul!$H$2:$H$1000)</f>
        <v>0</v>
      </c>
      <c r="I77" s="5">
        <f>SUMIF(Aug!$G$2:$G$1000,'2024 Summary'!A77,Aug!$H$2:$H$1000)</f>
        <v>0</v>
      </c>
      <c r="J77" s="5">
        <f>SUMIF(Sep!$G$2:$G$1000,'2024 Summary'!A77,Sep!$H$2:$H$1000)</f>
        <v>0</v>
      </c>
      <c r="K77" s="5">
        <f>SUMIF(Oct!$G$2:$G$1000,'2024 Summary'!A77,Oct!$H$2:$H$1000)</f>
        <v>0</v>
      </c>
      <c r="L77" s="5">
        <f>SUMIF(Nov!$G$2:$G$1000,'2024 Summary'!A77,Nov!$H$2:$H$1000)</f>
        <v>0</v>
      </c>
      <c r="M77" s="5">
        <f>SUMIF(Dec!$G$2:$G$1000,'2024 Summary'!A77,Dec!$H$2:$H$1000)</f>
        <v>0</v>
      </c>
      <c r="AA77" s="13">
        <f>Jan!G76</f>
        <v>0</v>
      </c>
    </row>
    <row r="78" spans="2:27" x14ac:dyDescent="0.25">
      <c r="B78" s="5">
        <f>SUMIF(Jan!$G$2:$G$1000,'2024 Summary'!A78,Jan!$H$2:$H$1000)</f>
        <v>0</v>
      </c>
      <c r="C78" s="5">
        <f>SUMIF(Feb!$G$2:$G$1000,'2024 Summary'!A78,Feb!$H$2:$H$1000)</f>
        <v>0</v>
      </c>
      <c r="D78" s="5">
        <f>SUMIF(Mar!$G$2:$G$1000,'2024 Summary'!A78,Mar!$H$2:$H$1000)</f>
        <v>0</v>
      </c>
      <c r="E78" s="5">
        <f>SUMIF(Apr!$G$2:$G$1000,'2024 Summary'!A78,Apr!$H$2:$H$1000)</f>
        <v>0</v>
      </c>
      <c r="F78" s="5">
        <f>SUMIF(May!$G$2:$G$1000,'2024 Summary'!A78,May!$H$2:$H$1000)</f>
        <v>0</v>
      </c>
      <c r="G78" s="5">
        <f>SUMIF(Jun!$G$2:$G$1000,'2024 Summary'!A78,Jun!$H$2:$H$1000)</f>
        <v>0</v>
      </c>
      <c r="H78" s="5">
        <f>SUMIF(Jul!$G$2:$G$1000,'2024 Summary'!A78,Jul!$H$2:$H$1000)</f>
        <v>0</v>
      </c>
      <c r="I78" s="5">
        <f>SUMIF(Aug!$G$2:$G$1000,'2024 Summary'!A78,Aug!$H$2:$H$1000)</f>
        <v>0</v>
      </c>
      <c r="J78" s="5">
        <f>SUMIF(Sep!$G$2:$G$1000,'2024 Summary'!A78,Sep!$H$2:$H$1000)</f>
        <v>0</v>
      </c>
      <c r="K78" s="5">
        <f>SUMIF(Oct!$G$2:$G$1000,'2024 Summary'!A78,Oct!$H$2:$H$1000)</f>
        <v>0</v>
      </c>
      <c r="L78" s="5">
        <f>SUMIF(Nov!$G$2:$G$1000,'2024 Summary'!A78,Nov!$H$2:$H$1000)</f>
        <v>0</v>
      </c>
      <c r="M78" s="5">
        <f>SUMIF(Dec!$G$2:$G$1000,'2024 Summary'!A78,Dec!$H$2:$H$1000)</f>
        <v>0</v>
      </c>
      <c r="AA78" s="13">
        <f>Jan!G77</f>
        <v>0</v>
      </c>
    </row>
    <row r="79" spans="2:27" x14ac:dyDescent="0.25">
      <c r="B79" s="5">
        <f>SUMIF(Jan!$G$2:$G$1000,'2024 Summary'!A79,Jan!$H$2:$H$1000)</f>
        <v>0</v>
      </c>
      <c r="C79" s="5">
        <f>SUMIF(Feb!$G$2:$G$1000,'2024 Summary'!A79,Feb!$H$2:$H$1000)</f>
        <v>0</v>
      </c>
      <c r="D79" s="5">
        <f>SUMIF(Mar!$G$2:$G$1000,'2024 Summary'!A79,Mar!$H$2:$H$1000)</f>
        <v>0</v>
      </c>
      <c r="E79" s="5">
        <f>SUMIF(Apr!$G$2:$G$1000,'2024 Summary'!A79,Apr!$H$2:$H$1000)</f>
        <v>0</v>
      </c>
      <c r="F79" s="5">
        <f>SUMIF(May!$G$2:$G$1000,'2024 Summary'!A79,May!$H$2:$H$1000)</f>
        <v>0</v>
      </c>
      <c r="G79" s="5">
        <f>SUMIF(Jun!$G$2:$G$1000,'2024 Summary'!A79,Jun!$H$2:$H$1000)</f>
        <v>0</v>
      </c>
      <c r="H79" s="5">
        <f>SUMIF(Jul!$G$2:$G$1000,'2024 Summary'!A79,Jul!$H$2:$H$1000)</f>
        <v>0</v>
      </c>
      <c r="I79" s="5">
        <f>SUMIF(Aug!$G$2:$G$1000,'2024 Summary'!A79,Aug!$H$2:$H$1000)</f>
        <v>0</v>
      </c>
      <c r="J79" s="5">
        <f>SUMIF(Sep!$G$2:$G$1000,'2024 Summary'!A79,Sep!$H$2:$H$1000)</f>
        <v>0</v>
      </c>
      <c r="K79" s="5">
        <f>SUMIF(Oct!$G$2:$G$1000,'2024 Summary'!A79,Oct!$H$2:$H$1000)</f>
        <v>0</v>
      </c>
      <c r="L79" s="5">
        <f>SUMIF(Nov!$G$2:$G$1000,'2024 Summary'!A79,Nov!$H$2:$H$1000)</f>
        <v>0</v>
      </c>
      <c r="M79" s="5">
        <f>SUMIF(Dec!$G$2:$G$1000,'2024 Summary'!A79,Dec!$H$2:$H$1000)</f>
        <v>0</v>
      </c>
      <c r="AA79" s="13">
        <f>Jan!G78</f>
        <v>0</v>
      </c>
    </row>
    <row r="80" spans="2:27" x14ac:dyDescent="0.25">
      <c r="B80" s="5">
        <f>SUMIF(Jan!$G$2:$G$1000,'2024 Summary'!A80,Jan!$H$2:$H$1000)</f>
        <v>0</v>
      </c>
      <c r="C80" s="5">
        <f>SUMIF(Feb!$G$2:$G$1000,'2024 Summary'!A80,Feb!$H$2:$H$1000)</f>
        <v>0</v>
      </c>
      <c r="D80" s="5">
        <f>SUMIF(Mar!$G$2:$G$1000,'2024 Summary'!A80,Mar!$H$2:$H$1000)</f>
        <v>0</v>
      </c>
      <c r="E80" s="5">
        <f>SUMIF(Apr!$G$2:$G$1000,'2024 Summary'!A80,Apr!$H$2:$H$1000)</f>
        <v>0</v>
      </c>
      <c r="F80" s="5">
        <f>SUMIF(May!$G$2:$G$1000,'2024 Summary'!A80,May!$H$2:$H$1000)</f>
        <v>0</v>
      </c>
      <c r="G80" s="5">
        <f>SUMIF(Jun!$G$2:$G$1000,'2024 Summary'!A80,Jun!$H$2:$H$1000)</f>
        <v>0</v>
      </c>
      <c r="H80" s="5">
        <f>SUMIF(Jul!$G$2:$G$1000,'2024 Summary'!A80,Jul!$H$2:$H$1000)</f>
        <v>0</v>
      </c>
      <c r="I80" s="5">
        <f>SUMIF(Aug!$G$2:$G$1000,'2024 Summary'!A80,Aug!$H$2:$H$1000)</f>
        <v>0</v>
      </c>
      <c r="J80" s="5">
        <f>SUMIF(Sep!$G$2:$G$1000,'2024 Summary'!A80,Sep!$H$2:$H$1000)</f>
        <v>0</v>
      </c>
      <c r="K80" s="5">
        <f>SUMIF(Oct!$G$2:$G$1000,'2024 Summary'!A80,Oct!$H$2:$H$1000)</f>
        <v>0</v>
      </c>
      <c r="L80" s="5">
        <f>SUMIF(Nov!$G$2:$G$1000,'2024 Summary'!A80,Nov!$H$2:$H$1000)</f>
        <v>0</v>
      </c>
      <c r="M80" s="5">
        <f>SUMIF(Dec!$G$2:$G$1000,'2024 Summary'!A80,Dec!$H$2:$H$1000)</f>
        <v>0</v>
      </c>
      <c r="AA80" s="13">
        <f>Jan!G79</f>
        <v>0</v>
      </c>
    </row>
    <row r="81" spans="2:27" x14ac:dyDescent="0.25">
      <c r="B81" s="5">
        <f>SUMIF(Jan!$G$2:$G$1000,'2024 Summary'!A81,Jan!$H$2:$H$1000)</f>
        <v>0</v>
      </c>
      <c r="C81" s="5">
        <f>SUMIF(Feb!$G$2:$G$1000,'2024 Summary'!A81,Feb!$H$2:$H$1000)</f>
        <v>0</v>
      </c>
      <c r="D81" s="5">
        <f>SUMIF(Mar!$G$2:$G$1000,'2024 Summary'!A81,Mar!$H$2:$H$1000)</f>
        <v>0</v>
      </c>
      <c r="E81" s="5">
        <f>SUMIF(Apr!$G$2:$G$1000,'2024 Summary'!A81,Apr!$H$2:$H$1000)</f>
        <v>0</v>
      </c>
      <c r="F81" s="5">
        <f>SUMIF(May!$G$2:$G$1000,'2024 Summary'!A81,May!$H$2:$H$1000)</f>
        <v>0</v>
      </c>
      <c r="G81" s="5">
        <f>SUMIF(Jun!$G$2:$G$1000,'2024 Summary'!A81,Jun!$H$2:$H$1000)</f>
        <v>0</v>
      </c>
      <c r="H81" s="5">
        <f>SUMIF(Jul!$G$2:$G$1000,'2024 Summary'!A81,Jul!$H$2:$H$1000)</f>
        <v>0</v>
      </c>
      <c r="I81" s="5">
        <f>SUMIF(Aug!$G$2:$G$1000,'2024 Summary'!A81,Aug!$H$2:$H$1000)</f>
        <v>0</v>
      </c>
      <c r="J81" s="5">
        <f>SUMIF(Sep!$G$2:$G$1000,'2024 Summary'!A81,Sep!$H$2:$H$1000)</f>
        <v>0</v>
      </c>
      <c r="K81" s="5">
        <f>SUMIF(Oct!$G$2:$G$1000,'2024 Summary'!A81,Oct!$H$2:$H$1000)</f>
        <v>0</v>
      </c>
      <c r="L81" s="5">
        <f>SUMIF(Nov!$G$2:$G$1000,'2024 Summary'!A81,Nov!$H$2:$H$1000)</f>
        <v>0</v>
      </c>
      <c r="M81" s="5">
        <f>SUMIF(Dec!$G$2:$G$1000,'2024 Summary'!A81,Dec!$H$2:$H$1000)</f>
        <v>0</v>
      </c>
      <c r="AA81" s="13">
        <f>Jan!G80</f>
        <v>0</v>
      </c>
    </row>
    <row r="82" spans="2:27" x14ac:dyDescent="0.25">
      <c r="B82" s="5">
        <f>SUMIF(Jan!$G$2:$G$1000,'2024 Summary'!A82,Jan!$H$2:$H$1000)</f>
        <v>0</v>
      </c>
      <c r="C82" s="5">
        <f>SUMIF(Feb!$G$2:$G$1000,'2024 Summary'!A82,Feb!$H$2:$H$1000)</f>
        <v>0</v>
      </c>
      <c r="D82" s="5">
        <f>SUMIF(Mar!$G$2:$G$1000,'2024 Summary'!A82,Mar!$H$2:$H$1000)</f>
        <v>0</v>
      </c>
      <c r="E82" s="5">
        <f>SUMIF(Apr!$G$2:$G$1000,'2024 Summary'!A82,Apr!$H$2:$H$1000)</f>
        <v>0</v>
      </c>
      <c r="F82" s="5">
        <f>SUMIF(May!$G$2:$G$1000,'2024 Summary'!A82,May!$H$2:$H$1000)</f>
        <v>0</v>
      </c>
      <c r="G82" s="5">
        <f>SUMIF(Jun!$G$2:$G$1000,'2024 Summary'!A82,Jun!$H$2:$H$1000)</f>
        <v>0</v>
      </c>
      <c r="H82" s="5">
        <f>SUMIF(Jul!$G$2:$G$1000,'2024 Summary'!A82,Jul!$H$2:$H$1000)</f>
        <v>0</v>
      </c>
      <c r="I82" s="5">
        <f>SUMIF(Aug!$G$2:$G$1000,'2024 Summary'!A82,Aug!$H$2:$H$1000)</f>
        <v>0</v>
      </c>
      <c r="J82" s="5">
        <f>SUMIF(Sep!$G$2:$G$1000,'2024 Summary'!A82,Sep!$H$2:$H$1000)</f>
        <v>0</v>
      </c>
      <c r="K82" s="5">
        <f>SUMIF(Oct!$G$2:$G$1000,'2024 Summary'!A82,Oct!$H$2:$H$1000)</f>
        <v>0</v>
      </c>
      <c r="L82" s="5">
        <f>SUMIF(Nov!$G$2:$G$1000,'2024 Summary'!A82,Nov!$H$2:$H$1000)</f>
        <v>0</v>
      </c>
      <c r="M82" s="5">
        <f>SUMIF(Dec!$G$2:$G$1000,'2024 Summary'!A82,Dec!$H$2:$H$1000)</f>
        <v>0</v>
      </c>
      <c r="AA82" s="13">
        <f>Jan!G81</f>
        <v>0</v>
      </c>
    </row>
    <row r="83" spans="2:27" x14ac:dyDescent="0.25">
      <c r="B83" s="5">
        <f>SUMIF(Jan!$G$2:$G$1000,'2024 Summary'!A83,Jan!$H$2:$H$1000)</f>
        <v>0</v>
      </c>
      <c r="C83" s="5">
        <f>SUMIF(Feb!$G$2:$G$1000,'2024 Summary'!A83,Feb!$H$2:$H$1000)</f>
        <v>0</v>
      </c>
      <c r="D83" s="5">
        <f>SUMIF(Mar!$G$2:$G$1000,'2024 Summary'!A83,Mar!$H$2:$H$1000)</f>
        <v>0</v>
      </c>
      <c r="E83" s="5">
        <f>SUMIF(Apr!$G$2:$G$1000,'2024 Summary'!A83,Apr!$H$2:$H$1000)</f>
        <v>0</v>
      </c>
      <c r="F83" s="5">
        <f>SUMIF(May!$G$2:$G$1000,'2024 Summary'!A83,May!$H$2:$H$1000)</f>
        <v>0</v>
      </c>
      <c r="G83" s="5">
        <f>SUMIF(Jun!$G$2:$G$1000,'2024 Summary'!A83,Jun!$H$2:$H$1000)</f>
        <v>0</v>
      </c>
      <c r="H83" s="5">
        <f>SUMIF(Jul!$G$2:$G$1000,'2024 Summary'!A83,Jul!$H$2:$H$1000)</f>
        <v>0</v>
      </c>
      <c r="I83" s="5">
        <f>SUMIF(Aug!$G$2:$G$1000,'2024 Summary'!A83,Aug!$H$2:$H$1000)</f>
        <v>0</v>
      </c>
      <c r="J83" s="5">
        <f>SUMIF(Sep!$G$2:$G$1000,'2024 Summary'!A83,Sep!$H$2:$H$1000)</f>
        <v>0</v>
      </c>
      <c r="K83" s="5">
        <f>SUMIF(Oct!$G$2:$G$1000,'2024 Summary'!A83,Oct!$H$2:$H$1000)</f>
        <v>0</v>
      </c>
      <c r="L83" s="5">
        <f>SUMIF(Nov!$G$2:$G$1000,'2024 Summary'!A83,Nov!$H$2:$H$1000)</f>
        <v>0</v>
      </c>
      <c r="M83" s="5">
        <f>SUMIF(Dec!$G$2:$G$1000,'2024 Summary'!A83,Dec!$H$2:$H$1000)</f>
        <v>0</v>
      </c>
      <c r="AA83" s="13">
        <f>Jan!G82</f>
        <v>0</v>
      </c>
    </row>
    <row r="84" spans="2:27" x14ac:dyDescent="0.25">
      <c r="B84" s="5">
        <f>SUMIF(Jan!$G$2:$G$1000,'2024 Summary'!A84,Jan!$H$2:$H$1000)</f>
        <v>0</v>
      </c>
      <c r="C84" s="5">
        <f>SUMIF(Feb!$G$2:$G$1000,'2024 Summary'!A84,Feb!$H$2:$H$1000)</f>
        <v>0</v>
      </c>
      <c r="D84" s="5">
        <f>SUMIF(Mar!$G$2:$G$1000,'2024 Summary'!A84,Mar!$H$2:$H$1000)</f>
        <v>0</v>
      </c>
      <c r="E84" s="5">
        <f>SUMIF(Apr!$G$2:$G$1000,'2024 Summary'!A84,Apr!$H$2:$H$1000)</f>
        <v>0</v>
      </c>
      <c r="F84" s="5">
        <f>SUMIF(May!$G$2:$G$1000,'2024 Summary'!A84,May!$H$2:$H$1000)</f>
        <v>0</v>
      </c>
      <c r="G84" s="5">
        <f>SUMIF(Jun!$G$2:$G$1000,'2024 Summary'!A84,Jun!$H$2:$H$1000)</f>
        <v>0</v>
      </c>
      <c r="H84" s="5">
        <f>SUMIF(Jul!$G$2:$G$1000,'2024 Summary'!A84,Jul!$H$2:$H$1000)</f>
        <v>0</v>
      </c>
      <c r="I84" s="5">
        <f>SUMIF(Aug!$G$2:$G$1000,'2024 Summary'!A84,Aug!$H$2:$H$1000)</f>
        <v>0</v>
      </c>
      <c r="J84" s="5">
        <f>SUMIF(Sep!$G$2:$G$1000,'2024 Summary'!A84,Sep!$H$2:$H$1000)</f>
        <v>0</v>
      </c>
      <c r="K84" s="5">
        <f>SUMIF(Oct!$G$2:$G$1000,'2024 Summary'!A84,Oct!$H$2:$H$1000)</f>
        <v>0</v>
      </c>
      <c r="L84" s="5">
        <f>SUMIF(Nov!$G$2:$G$1000,'2024 Summary'!A84,Nov!$H$2:$H$1000)</f>
        <v>0</v>
      </c>
      <c r="M84" s="5">
        <f>SUMIF(Dec!$G$2:$G$1000,'2024 Summary'!A84,Dec!$H$2:$H$1000)</f>
        <v>0</v>
      </c>
      <c r="AA84" s="13">
        <f>Jan!G83</f>
        <v>0</v>
      </c>
    </row>
    <row r="85" spans="2:27" x14ac:dyDescent="0.25">
      <c r="B85" s="5">
        <f>SUMIF(Jan!$G$2:$G$1000,'2024 Summary'!A85,Jan!$H$2:$H$1000)</f>
        <v>0</v>
      </c>
      <c r="C85" s="5">
        <f>SUMIF(Feb!$G$2:$G$1000,'2024 Summary'!A85,Feb!$H$2:$H$1000)</f>
        <v>0</v>
      </c>
      <c r="D85" s="5">
        <f>SUMIF(Mar!$G$2:$G$1000,'2024 Summary'!A85,Mar!$H$2:$H$1000)</f>
        <v>0</v>
      </c>
      <c r="E85" s="5">
        <f>SUMIF(Apr!$G$2:$G$1000,'2024 Summary'!A85,Apr!$H$2:$H$1000)</f>
        <v>0</v>
      </c>
      <c r="F85" s="5">
        <f>SUMIF(May!$G$2:$G$1000,'2024 Summary'!A85,May!$H$2:$H$1000)</f>
        <v>0</v>
      </c>
      <c r="G85" s="5">
        <f>SUMIF(Jun!$G$2:$G$1000,'2024 Summary'!A85,Jun!$H$2:$H$1000)</f>
        <v>0</v>
      </c>
      <c r="H85" s="5">
        <f>SUMIF(Jul!$G$2:$G$1000,'2024 Summary'!A85,Jul!$H$2:$H$1000)</f>
        <v>0</v>
      </c>
      <c r="I85" s="5">
        <f>SUMIF(Aug!$G$2:$G$1000,'2024 Summary'!A85,Aug!$H$2:$H$1000)</f>
        <v>0</v>
      </c>
      <c r="J85" s="5">
        <f>SUMIF(Sep!$G$2:$G$1000,'2024 Summary'!A85,Sep!$H$2:$H$1000)</f>
        <v>0</v>
      </c>
      <c r="K85" s="5">
        <f>SUMIF(Oct!$G$2:$G$1000,'2024 Summary'!A85,Oct!$H$2:$H$1000)</f>
        <v>0</v>
      </c>
      <c r="L85" s="5">
        <f>SUMIF(Nov!$G$2:$G$1000,'2024 Summary'!A85,Nov!$H$2:$H$1000)</f>
        <v>0</v>
      </c>
      <c r="M85" s="5">
        <f>SUMIF(Dec!$G$2:$G$1000,'2024 Summary'!A85,Dec!$H$2:$H$1000)</f>
        <v>0</v>
      </c>
      <c r="AA85" s="13">
        <f>Jan!G84</f>
        <v>0</v>
      </c>
    </row>
    <row r="86" spans="2:27" x14ac:dyDescent="0.25">
      <c r="B86" s="5">
        <f>SUMIF(Jan!$G$2:$G$1000,'2024 Summary'!A86,Jan!$H$2:$H$1000)</f>
        <v>0</v>
      </c>
      <c r="C86" s="5">
        <f>SUMIF(Feb!$G$2:$G$1000,'2024 Summary'!A86,Feb!$H$2:$H$1000)</f>
        <v>0</v>
      </c>
      <c r="D86" s="5">
        <f>SUMIF(Mar!$G$2:$G$1000,'2024 Summary'!A86,Mar!$H$2:$H$1000)</f>
        <v>0</v>
      </c>
      <c r="E86" s="5">
        <f>SUMIF(Apr!$G$2:$G$1000,'2024 Summary'!A86,Apr!$H$2:$H$1000)</f>
        <v>0</v>
      </c>
      <c r="F86" s="5">
        <f>SUMIF(May!$G$2:$G$1000,'2024 Summary'!A86,May!$H$2:$H$1000)</f>
        <v>0</v>
      </c>
      <c r="G86" s="5">
        <f>SUMIF(Jun!$G$2:$G$1000,'2024 Summary'!A86,Jun!$H$2:$H$1000)</f>
        <v>0</v>
      </c>
      <c r="H86" s="5">
        <f>SUMIF(Jul!$G$2:$G$1000,'2024 Summary'!A86,Jul!$H$2:$H$1000)</f>
        <v>0</v>
      </c>
      <c r="I86" s="5">
        <f>SUMIF(Aug!$G$2:$G$1000,'2024 Summary'!A86,Aug!$H$2:$H$1000)</f>
        <v>0</v>
      </c>
      <c r="J86" s="5">
        <f>SUMIF(Sep!$G$2:$G$1000,'2024 Summary'!A86,Sep!$H$2:$H$1000)</f>
        <v>0</v>
      </c>
      <c r="K86" s="5">
        <f>SUMIF(Oct!$G$2:$G$1000,'2024 Summary'!A86,Oct!$H$2:$H$1000)</f>
        <v>0</v>
      </c>
      <c r="L86" s="5">
        <f>SUMIF(Nov!$G$2:$G$1000,'2024 Summary'!A86,Nov!$H$2:$H$1000)</f>
        <v>0</v>
      </c>
      <c r="M86" s="5">
        <f>SUMIF(Dec!$G$2:$G$1000,'2024 Summary'!A86,Dec!$H$2:$H$1000)</f>
        <v>0</v>
      </c>
      <c r="AA86" s="13">
        <f>Jan!G85</f>
        <v>0</v>
      </c>
    </row>
    <row r="87" spans="2:27" x14ac:dyDescent="0.25">
      <c r="B87" s="5">
        <f>SUMIF(Jan!$G$2:$G$1000,'2024 Summary'!A87,Jan!$H$2:$H$1000)</f>
        <v>0</v>
      </c>
      <c r="C87" s="5">
        <f>SUMIF(Feb!$G$2:$G$1000,'2024 Summary'!A87,Feb!$H$2:$H$1000)</f>
        <v>0</v>
      </c>
      <c r="D87" s="5">
        <f>SUMIF(Mar!$G$2:$G$1000,'2024 Summary'!A87,Mar!$H$2:$H$1000)</f>
        <v>0</v>
      </c>
      <c r="E87" s="5">
        <f>SUMIF(Apr!$G$2:$G$1000,'2024 Summary'!A87,Apr!$H$2:$H$1000)</f>
        <v>0</v>
      </c>
      <c r="F87" s="5">
        <f>SUMIF(May!$G$2:$G$1000,'2024 Summary'!A87,May!$H$2:$H$1000)</f>
        <v>0</v>
      </c>
      <c r="G87" s="5">
        <f>SUMIF(Jun!$G$2:$G$1000,'2024 Summary'!A87,Jun!$H$2:$H$1000)</f>
        <v>0</v>
      </c>
      <c r="H87" s="5">
        <f>SUMIF(Jul!$G$2:$G$1000,'2024 Summary'!A87,Jul!$H$2:$H$1000)</f>
        <v>0</v>
      </c>
      <c r="I87" s="5">
        <f>SUMIF(Aug!$G$2:$G$1000,'2024 Summary'!A87,Aug!$H$2:$H$1000)</f>
        <v>0</v>
      </c>
      <c r="J87" s="5">
        <f>SUMIF(Sep!$G$2:$G$1000,'2024 Summary'!A87,Sep!$H$2:$H$1000)</f>
        <v>0</v>
      </c>
      <c r="K87" s="5">
        <f>SUMIF(Oct!$G$2:$G$1000,'2024 Summary'!A87,Oct!$H$2:$H$1000)</f>
        <v>0</v>
      </c>
      <c r="L87" s="5">
        <f>SUMIF(Nov!$G$2:$G$1000,'2024 Summary'!A87,Nov!$H$2:$H$1000)</f>
        <v>0</v>
      </c>
      <c r="M87" s="5">
        <f>SUMIF(Dec!$G$2:$G$1000,'2024 Summary'!A87,Dec!$H$2:$H$1000)</f>
        <v>0</v>
      </c>
      <c r="AA87" s="13">
        <f>Jan!G86</f>
        <v>0</v>
      </c>
    </row>
    <row r="88" spans="2:27" x14ac:dyDescent="0.25">
      <c r="B88" s="5">
        <f>SUMIF(Jan!$G$2:$G$1000,'2024 Summary'!A88,Jan!$H$2:$H$1000)</f>
        <v>0</v>
      </c>
      <c r="C88" s="5">
        <f>SUMIF(Feb!$G$2:$G$1000,'2024 Summary'!A88,Feb!$H$2:$H$1000)</f>
        <v>0</v>
      </c>
      <c r="D88" s="5">
        <f>SUMIF(Mar!$G$2:$G$1000,'2024 Summary'!A88,Mar!$H$2:$H$1000)</f>
        <v>0</v>
      </c>
      <c r="E88" s="5">
        <f>SUMIF(Apr!$G$2:$G$1000,'2024 Summary'!A88,Apr!$H$2:$H$1000)</f>
        <v>0</v>
      </c>
      <c r="F88" s="5">
        <f>SUMIF(May!$G$2:$G$1000,'2024 Summary'!A88,May!$H$2:$H$1000)</f>
        <v>0</v>
      </c>
      <c r="G88" s="5">
        <f>SUMIF(Jun!$G$2:$G$1000,'2024 Summary'!A88,Jun!$H$2:$H$1000)</f>
        <v>0</v>
      </c>
      <c r="H88" s="5">
        <f>SUMIF(Jul!$G$2:$G$1000,'2024 Summary'!A88,Jul!$H$2:$H$1000)</f>
        <v>0</v>
      </c>
      <c r="I88" s="5">
        <f>SUMIF(Aug!$G$2:$G$1000,'2024 Summary'!A88,Aug!$H$2:$H$1000)</f>
        <v>0</v>
      </c>
      <c r="J88" s="5">
        <f>SUMIF(Sep!$G$2:$G$1000,'2024 Summary'!A88,Sep!$H$2:$H$1000)</f>
        <v>0</v>
      </c>
      <c r="K88" s="5">
        <f>SUMIF(Oct!$G$2:$G$1000,'2024 Summary'!A88,Oct!$H$2:$H$1000)</f>
        <v>0</v>
      </c>
      <c r="L88" s="5">
        <f>SUMIF(Nov!$G$2:$G$1000,'2024 Summary'!A88,Nov!$H$2:$H$1000)</f>
        <v>0</v>
      </c>
      <c r="M88" s="5">
        <f>SUMIF(Dec!$G$2:$G$1000,'2024 Summary'!A88,Dec!$H$2:$H$1000)</f>
        <v>0</v>
      </c>
      <c r="AA88" s="13">
        <f>Jan!G87</f>
        <v>0</v>
      </c>
    </row>
    <row r="89" spans="2:27" x14ac:dyDescent="0.25">
      <c r="B89" s="5">
        <f>SUMIF(Jan!$G$2:$G$1000,'2024 Summary'!A89,Jan!$H$2:$H$1000)</f>
        <v>0</v>
      </c>
      <c r="C89" s="5">
        <f>SUMIF(Feb!$G$2:$G$1000,'2024 Summary'!A89,Feb!$H$2:$H$1000)</f>
        <v>0</v>
      </c>
      <c r="D89" s="5">
        <f>SUMIF(Mar!$G$2:$G$1000,'2024 Summary'!A89,Mar!$H$2:$H$1000)</f>
        <v>0</v>
      </c>
      <c r="E89" s="5">
        <f>SUMIF(Apr!$G$2:$G$1000,'2024 Summary'!A89,Apr!$H$2:$H$1000)</f>
        <v>0</v>
      </c>
      <c r="F89" s="5">
        <f>SUMIF(May!$G$2:$G$1000,'2024 Summary'!A89,May!$H$2:$H$1000)</f>
        <v>0</v>
      </c>
      <c r="G89" s="5">
        <f>SUMIF(Jun!$G$2:$G$1000,'2024 Summary'!A89,Jun!$H$2:$H$1000)</f>
        <v>0</v>
      </c>
      <c r="H89" s="5">
        <f>SUMIF(Jul!$G$2:$G$1000,'2024 Summary'!A89,Jul!$H$2:$H$1000)</f>
        <v>0</v>
      </c>
      <c r="I89" s="5">
        <f>SUMIF(Aug!$G$2:$G$1000,'2024 Summary'!A89,Aug!$H$2:$H$1000)</f>
        <v>0</v>
      </c>
      <c r="J89" s="5">
        <f>SUMIF(Sep!$G$2:$G$1000,'2024 Summary'!A89,Sep!$H$2:$H$1000)</f>
        <v>0</v>
      </c>
      <c r="K89" s="5">
        <f>SUMIF(Oct!$G$2:$G$1000,'2024 Summary'!A89,Oct!$H$2:$H$1000)</f>
        <v>0</v>
      </c>
      <c r="L89" s="5">
        <f>SUMIF(Nov!$G$2:$G$1000,'2024 Summary'!A89,Nov!$H$2:$H$1000)</f>
        <v>0</v>
      </c>
      <c r="M89" s="5">
        <f>SUMIF(Dec!$G$2:$G$1000,'2024 Summary'!A89,Dec!$H$2:$H$1000)</f>
        <v>0</v>
      </c>
      <c r="AA89" s="13">
        <f>Jan!G88</f>
        <v>0</v>
      </c>
    </row>
    <row r="90" spans="2:27" x14ac:dyDescent="0.25">
      <c r="B90" s="5">
        <f>SUMIF(Jan!$G$2:$G$1000,'2024 Summary'!A90,Jan!$H$2:$H$1000)</f>
        <v>0</v>
      </c>
      <c r="C90" s="5">
        <f>SUMIF(Feb!$G$2:$G$1000,'2024 Summary'!A90,Feb!$H$2:$H$1000)</f>
        <v>0</v>
      </c>
      <c r="D90" s="5">
        <f>SUMIF(Mar!$G$2:$G$1000,'2024 Summary'!A90,Mar!$H$2:$H$1000)</f>
        <v>0</v>
      </c>
      <c r="E90" s="5">
        <f>SUMIF(Apr!$G$2:$G$1000,'2024 Summary'!A90,Apr!$H$2:$H$1000)</f>
        <v>0</v>
      </c>
      <c r="F90" s="5">
        <f>SUMIF(May!$G$2:$G$1000,'2024 Summary'!A90,May!$H$2:$H$1000)</f>
        <v>0</v>
      </c>
      <c r="G90" s="5">
        <f>SUMIF(Jun!$G$2:$G$1000,'2024 Summary'!A90,Jun!$H$2:$H$1000)</f>
        <v>0</v>
      </c>
      <c r="H90" s="5">
        <f>SUMIF(Jul!$G$2:$G$1000,'2024 Summary'!A90,Jul!$H$2:$H$1000)</f>
        <v>0</v>
      </c>
      <c r="I90" s="5">
        <f>SUMIF(Aug!$G$2:$G$1000,'2024 Summary'!A90,Aug!$H$2:$H$1000)</f>
        <v>0</v>
      </c>
      <c r="J90" s="5">
        <f>SUMIF(Sep!$G$2:$G$1000,'2024 Summary'!A90,Sep!$H$2:$H$1000)</f>
        <v>0</v>
      </c>
      <c r="K90" s="5">
        <f>SUMIF(Oct!$G$2:$G$1000,'2024 Summary'!A90,Oct!$H$2:$H$1000)</f>
        <v>0</v>
      </c>
      <c r="L90" s="5">
        <f>SUMIF(Nov!$G$2:$G$1000,'2024 Summary'!A90,Nov!$H$2:$H$1000)</f>
        <v>0</v>
      </c>
      <c r="M90" s="5">
        <f>SUMIF(Dec!$G$2:$G$1000,'2024 Summary'!A90,Dec!$H$2:$H$1000)</f>
        <v>0</v>
      </c>
      <c r="AA90" s="13">
        <f>Jan!G89</f>
        <v>0</v>
      </c>
    </row>
    <row r="91" spans="2:27" x14ac:dyDescent="0.25">
      <c r="B91" s="5">
        <f>SUMIF(Jan!$G$2:$G$1000,'2024 Summary'!A91,Jan!$H$2:$H$1000)</f>
        <v>0</v>
      </c>
      <c r="C91" s="5">
        <f>SUMIF(Feb!$G$2:$G$1000,'2024 Summary'!A91,Feb!$H$2:$H$1000)</f>
        <v>0</v>
      </c>
      <c r="D91" s="5">
        <f>SUMIF(Mar!$G$2:$G$1000,'2024 Summary'!A91,Mar!$H$2:$H$1000)</f>
        <v>0</v>
      </c>
      <c r="E91" s="5">
        <f>SUMIF(Apr!$G$2:$G$1000,'2024 Summary'!A91,Apr!$H$2:$H$1000)</f>
        <v>0</v>
      </c>
      <c r="F91" s="5">
        <f>SUMIF(May!$G$2:$G$1000,'2024 Summary'!A91,May!$H$2:$H$1000)</f>
        <v>0</v>
      </c>
      <c r="G91" s="5">
        <f>SUMIF(Jun!$G$2:$G$1000,'2024 Summary'!A91,Jun!$H$2:$H$1000)</f>
        <v>0</v>
      </c>
      <c r="H91" s="5">
        <f>SUMIF(Jul!$G$2:$G$1000,'2024 Summary'!A91,Jul!$H$2:$H$1000)</f>
        <v>0</v>
      </c>
      <c r="I91" s="5">
        <f>SUMIF(Aug!$G$2:$G$1000,'2024 Summary'!A91,Aug!$H$2:$H$1000)</f>
        <v>0</v>
      </c>
      <c r="J91" s="5">
        <f>SUMIF(Sep!$G$2:$G$1000,'2024 Summary'!A91,Sep!$H$2:$H$1000)</f>
        <v>0</v>
      </c>
      <c r="K91" s="5">
        <f>SUMIF(Oct!$G$2:$G$1000,'2024 Summary'!A91,Oct!$H$2:$H$1000)</f>
        <v>0</v>
      </c>
      <c r="L91" s="5">
        <f>SUMIF(Nov!$G$2:$G$1000,'2024 Summary'!A91,Nov!$H$2:$H$1000)</f>
        <v>0</v>
      </c>
      <c r="M91" s="5">
        <f>SUMIF(Dec!$G$2:$G$1000,'2024 Summary'!A91,Dec!$H$2:$H$1000)</f>
        <v>0</v>
      </c>
      <c r="AA91" s="13">
        <f>Jan!G90</f>
        <v>0</v>
      </c>
    </row>
    <row r="92" spans="2:27" x14ac:dyDescent="0.25">
      <c r="B92" s="5">
        <f>SUMIF(Jan!$G$2:$G$1000,'2024 Summary'!A92,Jan!$H$2:$H$1000)</f>
        <v>0</v>
      </c>
      <c r="C92" s="5">
        <f>SUMIF(Feb!$G$2:$G$1000,'2024 Summary'!A92,Feb!$H$2:$H$1000)</f>
        <v>0</v>
      </c>
      <c r="D92" s="5">
        <f>SUMIF(Mar!$G$2:$G$1000,'2024 Summary'!A92,Mar!$H$2:$H$1000)</f>
        <v>0</v>
      </c>
      <c r="E92" s="5">
        <f>SUMIF(Apr!$G$2:$G$1000,'2024 Summary'!A92,Apr!$H$2:$H$1000)</f>
        <v>0</v>
      </c>
      <c r="F92" s="5">
        <f>SUMIF(May!$G$2:$G$1000,'2024 Summary'!A92,May!$H$2:$H$1000)</f>
        <v>0</v>
      </c>
      <c r="G92" s="5">
        <f>SUMIF(Jun!$G$2:$G$1000,'2024 Summary'!A92,Jun!$H$2:$H$1000)</f>
        <v>0</v>
      </c>
      <c r="H92" s="5">
        <f>SUMIF(Jul!$G$2:$G$1000,'2024 Summary'!A92,Jul!$H$2:$H$1000)</f>
        <v>0</v>
      </c>
      <c r="I92" s="5">
        <f>SUMIF(Aug!$G$2:$G$1000,'2024 Summary'!A92,Aug!$H$2:$H$1000)</f>
        <v>0</v>
      </c>
      <c r="J92" s="5">
        <f>SUMIF(Sep!$G$2:$G$1000,'2024 Summary'!A92,Sep!$H$2:$H$1000)</f>
        <v>0</v>
      </c>
      <c r="K92" s="5">
        <f>SUMIF(Oct!$G$2:$G$1000,'2024 Summary'!A92,Oct!$H$2:$H$1000)</f>
        <v>0</v>
      </c>
      <c r="L92" s="5">
        <f>SUMIF(Nov!$G$2:$G$1000,'2024 Summary'!A92,Nov!$H$2:$H$1000)</f>
        <v>0</v>
      </c>
      <c r="M92" s="5">
        <f>SUMIF(Dec!$G$2:$G$1000,'2024 Summary'!A92,Dec!$H$2:$H$1000)</f>
        <v>0</v>
      </c>
      <c r="AA92" s="13">
        <f>Jan!G91</f>
        <v>0</v>
      </c>
    </row>
    <row r="93" spans="2:27" x14ac:dyDescent="0.25">
      <c r="B93" s="5">
        <f>SUMIF(Jan!$G$2:$G$1000,'2024 Summary'!A93,Jan!$H$2:$H$1000)</f>
        <v>0</v>
      </c>
      <c r="C93" s="5">
        <f>SUMIF(Feb!$G$2:$G$1000,'2024 Summary'!A93,Feb!$H$2:$H$1000)</f>
        <v>0</v>
      </c>
      <c r="D93" s="5">
        <f>SUMIF(Mar!$G$2:$G$1000,'2024 Summary'!A93,Mar!$H$2:$H$1000)</f>
        <v>0</v>
      </c>
      <c r="E93" s="5">
        <f>SUMIF(Apr!$G$2:$G$1000,'2024 Summary'!A93,Apr!$H$2:$H$1000)</f>
        <v>0</v>
      </c>
      <c r="F93" s="5">
        <f>SUMIF(May!$G$2:$G$1000,'2024 Summary'!A93,May!$H$2:$H$1000)</f>
        <v>0</v>
      </c>
      <c r="G93" s="5">
        <f>SUMIF(Jun!$G$2:$G$1000,'2024 Summary'!A93,Jun!$H$2:$H$1000)</f>
        <v>0</v>
      </c>
      <c r="H93" s="5">
        <f>SUMIF(Jul!$G$2:$G$1000,'2024 Summary'!A93,Jul!$H$2:$H$1000)</f>
        <v>0</v>
      </c>
      <c r="I93" s="5">
        <f>SUMIF(Aug!$G$2:$G$1000,'2024 Summary'!A93,Aug!$H$2:$H$1000)</f>
        <v>0</v>
      </c>
      <c r="J93" s="5">
        <f>SUMIF(Sep!$G$2:$G$1000,'2024 Summary'!A93,Sep!$H$2:$H$1000)</f>
        <v>0</v>
      </c>
      <c r="K93" s="5">
        <f>SUMIF(Oct!$G$2:$G$1000,'2024 Summary'!A93,Oct!$H$2:$H$1000)</f>
        <v>0</v>
      </c>
      <c r="L93" s="5">
        <f>SUMIF(Nov!$G$2:$G$1000,'2024 Summary'!A93,Nov!$H$2:$H$1000)</f>
        <v>0</v>
      </c>
      <c r="M93" s="5">
        <f>SUMIF(Dec!$G$2:$G$1000,'2024 Summary'!A93,Dec!$H$2:$H$1000)</f>
        <v>0</v>
      </c>
      <c r="AA93" s="13">
        <f>Jan!G92</f>
        <v>0</v>
      </c>
    </row>
    <row r="94" spans="2:27" x14ac:dyDescent="0.25">
      <c r="B94" s="5">
        <f>SUMIF(Jan!$G$2:$G$1000,'2024 Summary'!A94,Jan!$H$2:$H$1000)</f>
        <v>0</v>
      </c>
      <c r="C94" s="5">
        <f>SUMIF(Feb!$G$2:$G$1000,'2024 Summary'!A94,Feb!$H$2:$H$1000)</f>
        <v>0</v>
      </c>
      <c r="D94" s="5">
        <f>SUMIF(Mar!$G$2:$G$1000,'2024 Summary'!A94,Mar!$H$2:$H$1000)</f>
        <v>0</v>
      </c>
      <c r="E94" s="5">
        <f>SUMIF(Apr!$G$2:$G$1000,'2024 Summary'!A94,Apr!$H$2:$H$1000)</f>
        <v>0</v>
      </c>
      <c r="F94" s="5">
        <f>SUMIF(May!$G$2:$G$1000,'2024 Summary'!A94,May!$H$2:$H$1000)</f>
        <v>0</v>
      </c>
      <c r="G94" s="5">
        <f>SUMIF(Jun!$G$2:$G$1000,'2024 Summary'!A94,Jun!$H$2:$H$1000)</f>
        <v>0</v>
      </c>
      <c r="H94" s="5">
        <f>SUMIF(Jul!$G$2:$G$1000,'2024 Summary'!A94,Jul!$H$2:$H$1000)</f>
        <v>0</v>
      </c>
      <c r="I94" s="5">
        <f>SUMIF(Aug!$G$2:$G$1000,'2024 Summary'!A94,Aug!$H$2:$H$1000)</f>
        <v>0</v>
      </c>
      <c r="J94" s="5">
        <f>SUMIF(Sep!$G$2:$G$1000,'2024 Summary'!A94,Sep!$H$2:$H$1000)</f>
        <v>0</v>
      </c>
      <c r="K94" s="5">
        <f>SUMIF(Oct!$G$2:$G$1000,'2024 Summary'!A94,Oct!$H$2:$H$1000)</f>
        <v>0</v>
      </c>
      <c r="L94" s="5">
        <f>SUMIF(Nov!$G$2:$G$1000,'2024 Summary'!A94,Nov!$H$2:$H$1000)</f>
        <v>0</v>
      </c>
      <c r="M94" s="5">
        <f>SUMIF(Dec!$G$2:$G$1000,'2024 Summary'!A94,Dec!$H$2:$H$1000)</f>
        <v>0</v>
      </c>
      <c r="AA94" s="13">
        <f>Jan!G93</f>
        <v>0</v>
      </c>
    </row>
    <row r="95" spans="2:27" x14ac:dyDescent="0.25">
      <c r="B95" s="5">
        <f>SUMIF(Jan!$G$2:$G$1000,'2024 Summary'!A95,Jan!$H$2:$H$1000)</f>
        <v>0</v>
      </c>
      <c r="C95" s="5">
        <f>SUMIF(Feb!$G$2:$G$1000,'2024 Summary'!A95,Feb!$H$2:$H$1000)</f>
        <v>0</v>
      </c>
      <c r="D95" s="5">
        <f>SUMIF(Mar!$G$2:$G$1000,'2024 Summary'!A95,Mar!$H$2:$H$1000)</f>
        <v>0</v>
      </c>
      <c r="E95" s="5">
        <f>SUMIF(Apr!$G$2:$G$1000,'2024 Summary'!A95,Apr!$H$2:$H$1000)</f>
        <v>0</v>
      </c>
      <c r="F95" s="5">
        <f>SUMIF(May!$G$2:$G$1000,'2024 Summary'!A95,May!$H$2:$H$1000)</f>
        <v>0</v>
      </c>
      <c r="G95" s="5">
        <f>SUMIF(Jun!$G$2:$G$1000,'2024 Summary'!A95,Jun!$H$2:$H$1000)</f>
        <v>0</v>
      </c>
      <c r="H95" s="5">
        <f>SUMIF(Jul!$G$2:$G$1000,'2024 Summary'!A95,Jul!$H$2:$H$1000)</f>
        <v>0</v>
      </c>
      <c r="I95" s="5">
        <f>SUMIF(Aug!$G$2:$G$1000,'2024 Summary'!A95,Aug!$H$2:$H$1000)</f>
        <v>0</v>
      </c>
      <c r="J95" s="5">
        <f>SUMIF(Sep!$G$2:$G$1000,'2024 Summary'!A95,Sep!$H$2:$H$1000)</f>
        <v>0</v>
      </c>
      <c r="K95" s="5">
        <f>SUMIF(Oct!$G$2:$G$1000,'2024 Summary'!A95,Oct!$H$2:$H$1000)</f>
        <v>0</v>
      </c>
      <c r="L95" s="5">
        <f>SUMIF(Nov!$G$2:$G$1000,'2024 Summary'!A95,Nov!$H$2:$H$1000)</f>
        <v>0</v>
      </c>
      <c r="M95" s="5">
        <f>SUMIF(Dec!$G$2:$G$1000,'2024 Summary'!A95,Dec!$H$2:$H$1000)</f>
        <v>0</v>
      </c>
      <c r="AA95" s="13">
        <f>Jan!G94</f>
        <v>0</v>
      </c>
    </row>
    <row r="96" spans="2:27" x14ac:dyDescent="0.25">
      <c r="B96" s="5">
        <f>SUMIF(Jan!$G$2:$G$1000,'2024 Summary'!A96,Jan!$H$2:$H$1000)</f>
        <v>0</v>
      </c>
      <c r="C96" s="5">
        <f>SUMIF(Feb!$G$2:$G$1000,'2024 Summary'!A96,Feb!$H$2:$H$1000)</f>
        <v>0</v>
      </c>
      <c r="D96" s="5">
        <f>SUMIF(Mar!$G$2:$G$1000,'2024 Summary'!A96,Mar!$H$2:$H$1000)</f>
        <v>0</v>
      </c>
      <c r="E96" s="5">
        <f>SUMIF(Apr!$G$2:$G$1000,'2024 Summary'!A96,Apr!$H$2:$H$1000)</f>
        <v>0</v>
      </c>
      <c r="F96" s="5">
        <f>SUMIF(May!$G$2:$G$1000,'2024 Summary'!A96,May!$H$2:$H$1000)</f>
        <v>0</v>
      </c>
      <c r="G96" s="5">
        <f>SUMIF(Jun!$G$2:$G$1000,'2024 Summary'!A96,Jun!$H$2:$H$1000)</f>
        <v>0</v>
      </c>
      <c r="H96" s="5">
        <f>SUMIF(Jul!$G$2:$G$1000,'2024 Summary'!A96,Jul!$H$2:$H$1000)</f>
        <v>0</v>
      </c>
      <c r="I96" s="5">
        <f>SUMIF(Aug!$G$2:$G$1000,'2024 Summary'!A96,Aug!$H$2:$H$1000)</f>
        <v>0</v>
      </c>
      <c r="J96" s="5">
        <f>SUMIF(Sep!$G$2:$G$1000,'2024 Summary'!A96,Sep!$H$2:$H$1000)</f>
        <v>0</v>
      </c>
      <c r="K96" s="5">
        <f>SUMIF(Oct!$G$2:$G$1000,'2024 Summary'!A96,Oct!$H$2:$H$1000)</f>
        <v>0</v>
      </c>
      <c r="L96" s="5">
        <f>SUMIF(Nov!$G$2:$G$1000,'2024 Summary'!A96,Nov!$H$2:$H$1000)</f>
        <v>0</v>
      </c>
      <c r="M96" s="5">
        <f>SUMIF(Dec!$G$2:$G$1000,'2024 Summary'!A96,Dec!$H$2:$H$1000)</f>
        <v>0</v>
      </c>
      <c r="AA96" s="13">
        <f>Jan!G95</f>
        <v>0</v>
      </c>
    </row>
    <row r="97" spans="2:27" x14ac:dyDescent="0.25">
      <c r="B97" s="5">
        <f>SUMIF(Jan!$G$2:$G$1000,'2024 Summary'!A97,Jan!$H$2:$H$1000)</f>
        <v>0</v>
      </c>
      <c r="C97" s="5">
        <f>SUMIF(Feb!$G$2:$G$1000,'2024 Summary'!A97,Feb!$H$2:$H$1000)</f>
        <v>0</v>
      </c>
      <c r="D97" s="5">
        <f>SUMIF(Mar!$G$2:$G$1000,'2024 Summary'!A97,Mar!$H$2:$H$1000)</f>
        <v>0</v>
      </c>
      <c r="E97" s="5">
        <f>SUMIF(Apr!$G$2:$G$1000,'2024 Summary'!A97,Apr!$H$2:$H$1000)</f>
        <v>0</v>
      </c>
      <c r="F97" s="5">
        <f>SUMIF(May!$G$2:$G$1000,'2024 Summary'!A97,May!$H$2:$H$1000)</f>
        <v>0</v>
      </c>
      <c r="G97" s="5">
        <f>SUMIF(Jun!$G$2:$G$1000,'2024 Summary'!A97,Jun!$H$2:$H$1000)</f>
        <v>0</v>
      </c>
      <c r="H97" s="5">
        <f>SUMIF(Jul!$G$2:$G$1000,'2024 Summary'!A97,Jul!$H$2:$H$1000)</f>
        <v>0</v>
      </c>
      <c r="I97" s="5">
        <f>SUMIF(Aug!$G$2:$G$1000,'2024 Summary'!A97,Aug!$H$2:$H$1000)</f>
        <v>0</v>
      </c>
      <c r="J97" s="5">
        <f>SUMIF(Sep!$G$2:$G$1000,'2024 Summary'!A97,Sep!$H$2:$H$1000)</f>
        <v>0</v>
      </c>
      <c r="K97" s="5">
        <f>SUMIF(Oct!$G$2:$G$1000,'2024 Summary'!A97,Oct!$H$2:$H$1000)</f>
        <v>0</v>
      </c>
      <c r="L97" s="5">
        <f>SUMIF(Nov!$G$2:$G$1000,'2024 Summary'!A97,Nov!$H$2:$H$1000)</f>
        <v>0</v>
      </c>
      <c r="M97" s="5">
        <f>SUMIF(Dec!$G$2:$G$1000,'2024 Summary'!A97,Dec!$H$2:$H$1000)</f>
        <v>0</v>
      </c>
      <c r="AA97" s="13">
        <f>Jan!G96</f>
        <v>0</v>
      </c>
    </row>
    <row r="98" spans="2:27" x14ac:dyDescent="0.25">
      <c r="B98" s="5">
        <f>SUMIF(Jan!$G$2:$G$1000,'2024 Summary'!A98,Jan!$H$2:$H$1000)</f>
        <v>0</v>
      </c>
      <c r="C98" s="5">
        <f>SUMIF(Feb!$G$2:$G$1000,'2024 Summary'!A98,Feb!$H$2:$H$1000)</f>
        <v>0</v>
      </c>
      <c r="D98" s="5">
        <f>SUMIF(Mar!$G$2:$G$1000,'2024 Summary'!A98,Mar!$H$2:$H$1000)</f>
        <v>0</v>
      </c>
      <c r="E98" s="5">
        <f>SUMIF(Apr!$G$2:$G$1000,'2024 Summary'!A98,Apr!$H$2:$H$1000)</f>
        <v>0</v>
      </c>
      <c r="F98" s="5">
        <f>SUMIF(May!$G$2:$G$1000,'2024 Summary'!A98,May!$H$2:$H$1000)</f>
        <v>0</v>
      </c>
      <c r="G98" s="5">
        <f>SUMIF(Jun!$G$2:$G$1000,'2024 Summary'!A98,Jun!$H$2:$H$1000)</f>
        <v>0</v>
      </c>
      <c r="H98" s="5">
        <f>SUMIF(Jul!$G$2:$G$1000,'2024 Summary'!A98,Jul!$H$2:$H$1000)</f>
        <v>0</v>
      </c>
      <c r="I98" s="5">
        <f>SUMIF(Aug!$G$2:$G$1000,'2024 Summary'!A98,Aug!$H$2:$H$1000)</f>
        <v>0</v>
      </c>
      <c r="J98" s="5">
        <f>SUMIF(Sep!$G$2:$G$1000,'2024 Summary'!A98,Sep!$H$2:$H$1000)</f>
        <v>0</v>
      </c>
      <c r="K98" s="5">
        <f>SUMIF(Oct!$G$2:$G$1000,'2024 Summary'!A98,Oct!$H$2:$H$1000)</f>
        <v>0</v>
      </c>
      <c r="L98" s="5">
        <f>SUMIF(Nov!$G$2:$G$1000,'2024 Summary'!A98,Nov!$H$2:$H$1000)</f>
        <v>0</v>
      </c>
      <c r="M98" s="5">
        <f>SUMIF(Dec!$G$2:$G$1000,'2024 Summary'!A98,Dec!$H$2:$H$1000)</f>
        <v>0</v>
      </c>
      <c r="AA98" s="13">
        <f>Jan!G97</f>
        <v>0</v>
      </c>
    </row>
    <row r="99" spans="2:27" x14ac:dyDescent="0.25">
      <c r="B99" s="5">
        <f>SUMIF(Jan!$G$2:$G$1000,'2024 Summary'!A99,Jan!$H$2:$H$1000)</f>
        <v>0</v>
      </c>
      <c r="C99" s="5">
        <f>SUMIF(Feb!$G$2:$G$1000,'2024 Summary'!A99,Feb!$H$2:$H$1000)</f>
        <v>0</v>
      </c>
      <c r="D99" s="5">
        <f>SUMIF(Mar!$G$2:$G$1000,'2024 Summary'!A99,Mar!$H$2:$H$1000)</f>
        <v>0</v>
      </c>
      <c r="E99" s="5">
        <f>SUMIF(Apr!$G$2:$G$1000,'2024 Summary'!A99,Apr!$H$2:$H$1000)</f>
        <v>0</v>
      </c>
      <c r="F99" s="5">
        <f>SUMIF(May!$G$2:$G$1000,'2024 Summary'!A99,May!$H$2:$H$1000)</f>
        <v>0</v>
      </c>
      <c r="G99" s="5">
        <f>SUMIF(Jun!$G$2:$G$1000,'2024 Summary'!A99,Jun!$H$2:$H$1000)</f>
        <v>0</v>
      </c>
      <c r="H99" s="5">
        <f>SUMIF(Jul!$G$2:$G$1000,'2024 Summary'!A99,Jul!$H$2:$H$1000)</f>
        <v>0</v>
      </c>
      <c r="I99" s="5">
        <f>SUMIF(Aug!$G$2:$G$1000,'2024 Summary'!A99,Aug!$H$2:$H$1000)</f>
        <v>0</v>
      </c>
      <c r="J99" s="5">
        <f>SUMIF(Sep!$G$2:$G$1000,'2024 Summary'!A99,Sep!$H$2:$H$1000)</f>
        <v>0</v>
      </c>
      <c r="K99" s="5">
        <f>SUMIF(Oct!$G$2:$G$1000,'2024 Summary'!A99,Oct!$H$2:$H$1000)</f>
        <v>0</v>
      </c>
      <c r="L99" s="5">
        <f>SUMIF(Nov!$G$2:$G$1000,'2024 Summary'!A99,Nov!$H$2:$H$1000)</f>
        <v>0</v>
      </c>
      <c r="M99" s="5">
        <f>SUMIF(Dec!$G$2:$G$1000,'2024 Summary'!A99,Dec!$H$2:$H$1000)</f>
        <v>0</v>
      </c>
    </row>
    <row r="100" spans="2:27" x14ac:dyDescent="0.25">
      <c r="B100" s="5">
        <f>SUMIF(Jan!$G$2:$G$1000,'2024 Summary'!A100,Jan!$H$2:$H$1000)</f>
        <v>0</v>
      </c>
      <c r="C100" s="5">
        <f>SUMIF(Feb!$G$2:$G$1000,'2024 Summary'!A100,Feb!$H$2:$H$1000)</f>
        <v>0</v>
      </c>
      <c r="D100" s="5">
        <f>SUMIF(Mar!$G$2:$G$1000,'2024 Summary'!A100,Mar!$H$2:$H$1000)</f>
        <v>0</v>
      </c>
      <c r="E100" s="5">
        <f>SUMIF(Apr!$G$2:$G$1000,'2024 Summary'!A100,Apr!$H$2:$H$1000)</f>
        <v>0</v>
      </c>
      <c r="F100" s="5">
        <f>SUMIF(May!$G$2:$G$1000,'2024 Summary'!A100,May!$H$2:$H$1000)</f>
        <v>0</v>
      </c>
      <c r="G100" s="5">
        <f>SUMIF(Jun!$G$2:$G$1000,'2024 Summary'!A100,Jun!$H$2:$H$1000)</f>
        <v>0</v>
      </c>
      <c r="H100" s="5">
        <f>SUMIF(Jul!$G$2:$G$1000,'2024 Summary'!A100,Jul!$H$2:$H$1000)</f>
        <v>0</v>
      </c>
      <c r="I100" s="5">
        <f>SUMIF(Aug!$G$2:$G$1000,'2024 Summary'!A100,Aug!$H$2:$H$1000)</f>
        <v>0</v>
      </c>
      <c r="J100" s="5">
        <f>SUMIF(Sep!$G$2:$G$1000,'2024 Summary'!A100,Sep!$H$2:$H$1000)</f>
        <v>0</v>
      </c>
      <c r="K100" s="5">
        <f>SUMIF(Oct!$G$2:$G$1000,'2024 Summary'!A100,Oct!$H$2:$H$1000)</f>
        <v>0</v>
      </c>
      <c r="L100" s="5">
        <f>SUMIF(Nov!$G$2:$G$1000,'2024 Summary'!A100,Nov!$H$2:$H$1000)</f>
        <v>0</v>
      </c>
      <c r="M100" s="5">
        <f>SUMIF(Dec!$G$2:$G$1000,'2024 Summary'!A100,Dec!$H$2:$H$1000)</f>
        <v>0</v>
      </c>
      <c r="AA100" s="13">
        <f>Feb!G2</f>
        <v>0</v>
      </c>
    </row>
    <row r="101" spans="2:27" x14ac:dyDescent="0.25">
      <c r="B101" s="5">
        <f>SUMIF(Jan!$G$2:$G$1000,'2024 Summary'!A101,Jan!$H$2:$H$1000)</f>
        <v>0</v>
      </c>
      <c r="C101" s="5">
        <f>SUMIF(Feb!$G$2:$G$1000,'2024 Summary'!A101,Feb!$H$2:$H$1000)</f>
        <v>0</v>
      </c>
      <c r="D101" s="5">
        <f>SUMIF(Mar!$G$2:$G$1000,'2024 Summary'!A101,Mar!$H$2:$H$1000)</f>
        <v>0</v>
      </c>
      <c r="E101" s="5">
        <f>SUMIF(Apr!$G$2:$G$1000,'2024 Summary'!A101,Apr!$H$2:$H$1000)</f>
        <v>0</v>
      </c>
      <c r="F101" s="5">
        <f>SUMIF(May!$G$2:$G$1000,'2024 Summary'!A101,May!$H$2:$H$1000)</f>
        <v>0</v>
      </c>
      <c r="G101" s="5">
        <f>SUMIF(Jun!$G$2:$G$1000,'2024 Summary'!A101,Jun!$H$2:$H$1000)</f>
        <v>0</v>
      </c>
      <c r="H101" s="5">
        <f>SUMIF(Jul!$G$2:$G$1000,'2024 Summary'!A101,Jul!$H$2:$H$1000)</f>
        <v>0</v>
      </c>
      <c r="I101" s="5">
        <f>SUMIF(Aug!$G$2:$G$1000,'2024 Summary'!A101,Aug!$H$2:$H$1000)</f>
        <v>0</v>
      </c>
      <c r="J101" s="5">
        <f>SUMIF(Sep!$G$2:$G$1000,'2024 Summary'!A101,Sep!$H$2:$H$1000)</f>
        <v>0</v>
      </c>
      <c r="K101" s="5">
        <f>SUMIF(Oct!$G$2:$G$1000,'2024 Summary'!A101,Oct!$H$2:$H$1000)</f>
        <v>0</v>
      </c>
      <c r="L101" s="5">
        <f>SUMIF(Nov!$G$2:$G$1000,'2024 Summary'!A101,Nov!$H$2:$H$1000)</f>
        <v>0</v>
      </c>
      <c r="M101" s="5">
        <f>SUMIF(Dec!$G$2:$G$1000,'2024 Summary'!A101,Dec!$H$2:$H$1000)</f>
        <v>0</v>
      </c>
      <c r="AA101" s="13">
        <f>Feb!G3</f>
        <v>0</v>
      </c>
    </row>
    <row r="102" spans="2:27" x14ac:dyDescent="0.25">
      <c r="B102" s="5">
        <f>SUMIF(Jan!$G$2:$G$1000,'2024 Summary'!A102,Jan!$H$2:$H$1000)</f>
        <v>0</v>
      </c>
      <c r="C102" s="5">
        <f>SUMIF(Feb!$G$2:$G$1000,'2024 Summary'!A102,Feb!$H$2:$H$1000)</f>
        <v>0</v>
      </c>
      <c r="D102" s="5">
        <f>SUMIF(Mar!$G$2:$G$1000,'2024 Summary'!A102,Mar!$H$2:$H$1000)</f>
        <v>0</v>
      </c>
      <c r="E102" s="5">
        <f>SUMIF(Apr!$G$2:$G$1000,'2024 Summary'!A102,Apr!$H$2:$H$1000)</f>
        <v>0</v>
      </c>
      <c r="F102" s="5">
        <f>SUMIF(May!$G$2:$G$1000,'2024 Summary'!A102,May!$H$2:$H$1000)</f>
        <v>0</v>
      </c>
      <c r="G102" s="5">
        <f>SUMIF(Jun!$G$2:$G$1000,'2024 Summary'!A102,Jun!$H$2:$H$1000)</f>
        <v>0</v>
      </c>
      <c r="H102" s="5">
        <f>SUMIF(Jul!$G$2:$G$1000,'2024 Summary'!A102,Jul!$H$2:$H$1000)</f>
        <v>0</v>
      </c>
      <c r="I102" s="5">
        <f>SUMIF(Aug!$G$2:$G$1000,'2024 Summary'!A102,Aug!$H$2:$H$1000)</f>
        <v>0</v>
      </c>
      <c r="J102" s="5">
        <f>SUMIF(Sep!$G$2:$G$1000,'2024 Summary'!A102,Sep!$H$2:$H$1000)</f>
        <v>0</v>
      </c>
      <c r="K102" s="5">
        <f>SUMIF(Oct!$G$2:$G$1000,'2024 Summary'!A102,Oct!$H$2:$H$1000)</f>
        <v>0</v>
      </c>
      <c r="L102" s="5">
        <f>SUMIF(Nov!$G$2:$G$1000,'2024 Summary'!A102,Nov!$H$2:$H$1000)</f>
        <v>0</v>
      </c>
      <c r="M102" s="5">
        <f>SUMIF(Dec!$G$2:$G$1000,'2024 Summary'!A102,Dec!$H$2:$H$1000)</f>
        <v>0</v>
      </c>
      <c r="AA102" s="13">
        <f>Feb!G4</f>
        <v>0</v>
      </c>
    </row>
    <row r="103" spans="2:27" x14ac:dyDescent="0.25">
      <c r="B103" s="5">
        <f>SUMIF(Jan!$G$2:$G$1000,'2024 Summary'!A103,Jan!$H$2:$H$1000)</f>
        <v>0</v>
      </c>
      <c r="C103" s="5">
        <f>SUMIF(Feb!$G$2:$G$1000,'2024 Summary'!A103,Feb!$H$2:$H$1000)</f>
        <v>0</v>
      </c>
      <c r="D103" s="5">
        <f>SUMIF(Mar!$G$2:$G$1000,'2024 Summary'!A103,Mar!$H$2:$H$1000)</f>
        <v>0</v>
      </c>
      <c r="E103" s="5">
        <f>SUMIF(Apr!$G$2:$G$1000,'2024 Summary'!A103,Apr!$H$2:$H$1000)</f>
        <v>0</v>
      </c>
      <c r="F103" s="5">
        <f>SUMIF(May!$G$2:$G$1000,'2024 Summary'!A103,May!$H$2:$H$1000)</f>
        <v>0</v>
      </c>
      <c r="G103" s="5">
        <f>SUMIF(Jun!$G$2:$G$1000,'2024 Summary'!A103,Jun!$H$2:$H$1000)</f>
        <v>0</v>
      </c>
      <c r="H103" s="5">
        <f>SUMIF(Jul!$G$2:$G$1000,'2024 Summary'!A103,Jul!$H$2:$H$1000)</f>
        <v>0</v>
      </c>
      <c r="I103" s="5">
        <f>SUMIF(Aug!$G$2:$G$1000,'2024 Summary'!A103,Aug!$H$2:$H$1000)</f>
        <v>0</v>
      </c>
      <c r="J103" s="5">
        <f>SUMIF(Sep!$G$2:$G$1000,'2024 Summary'!A103,Sep!$H$2:$H$1000)</f>
        <v>0</v>
      </c>
      <c r="K103" s="5">
        <f>SUMIF(Oct!$G$2:$G$1000,'2024 Summary'!A103,Oct!$H$2:$H$1000)</f>
        <v>0</v>
      </c>
      <c r="L103" s="5">
        <f>SUMIF(Nov!$G$2:$G$1000,'2024 Summary'!A103,Nov!$H$2:$H$1000)</f>
        <v>0</v>
      </c>
      <c r="M103" s="5">
        <f>SUMIF(Dec!$G$2:$G$1000,'2024 Summary'!A103,Dec!$H$2:$H$1000)</f>
        <v>0</v>
      </c>
      <c r="AA103" s="13">
        <f>Feb!G5</f>
        <v>0</v>
      </c>
    </row>
    <row r="104" spans="2:27" x14ac:dyDescent="0.25">
      <c r="B104" s="5">
        <f>SUMIF(Jan!$G$2:$G$1000,'2024 Summary'!A104,Jan!$H$2:$H$1000)</f>
        <v>0</v>
      </c>
      <c r="C104" s="5">
        <f>SUMIF(Feb!$G$2:$G$1000,'2024 Summary'!A104,Feb!$H$2:$H$1000)</f>
        <v>0</v>
      </c>
      <c r="D104" s="5">
        <f>SUMIF(Mar!$G$2:$G$1000,'2024 Summary'!A104,Mar!$H$2:$H$1000)</f>
        <v>0</v>
      </c>
      <c r="E104" s="5">
        <f>SUMIF(Apr!$G$2:$G$1000,'2024 Summary'!A104,Apr!$H$2:$H$1000)</f>
        <v>0</v>
      </c>
      <c r="F104" s="5">
        <f>SUMIF(May!$G$2:$G$1000,'2024 Summary'!A104,May!$H$2:$H$1000)</f>
        <v>0</v>
      </c>
      <c r="G104" s="5">
        <f>SUMIF(Jun!$G$2:$G$1000,'2024 Summary'!A104,Jun!$H$2:$H$1000)</f>
        <v>0</v>
      </c>
      <c r="H104" s="5">
        <f>SUMIF(Jul!$G$2:$G$1000,'2024 Summary'!A104,Jul!$H$2:$H$1000)</f>
        <v>0</v>
      </c>
      <c r="I104" s="5">
        <f>SUMIF(Aug!$G$2:$G$1000,'2024 Summary'!A104,Aug!$H$2:$H$1000)</f>
        <v>0</v>
      </c>
      <c r="J104" s="5">
        <f>SUMIF(Sep!$G$2:$G$1000,'2024 Summary'!A104,Sep!$H$2:$H$1000)</f>
        <v>0</v>
      </c>
      <c r="K104" s="5">
        <f>SUMIF(Oct!$G$2:$G$1000,'2024 Summary'!A104,Oct!$H$2:$H$1000)</f>
        <v>0</v>
      </c>
      <c r="L104" s="5">
        <f>SUMIF(Nov!$G$2:$G$1000,'2024 Summary'!A104,Nov!$H$2:$H$1000)</f>
        <v>0</v>
      </c>
      <c r="M104" s="5">
        <f>SUMIF(Dec!$G$2:$G$1000,'2024 Summary'!A104,Dec!$H$2:$H$1000)</f>
        <v>0</v>
      </c>
      <c r="AA104" s="13">
        <f>Feb!G6</f>
        <v>0</v>
      </c>
    </row>
    <row r="105" spans="2:27" x14ac:dyDescent="0.25">
      <c r="B105" s="5">
        <f>SUMIF(Jan!$G$2:$G$1000,'2024 Summary'!A105,Jan!$H$2:$H$1000)</f>
        <v>0</v>
      </c>
      <c r="C105" s="5">
        <f>SUMIF(Feb!$G$2:$G$1000,'2024 Summary'!A105,Feb!$H$2:$H$1000)</f>
        <v>0</v>
      </c>
      <c r="D105" s="5">
        <f>SUMIF(Mar!$G$2:$G$1000,'2024 Summary'!A105,Mar!$H$2:$H$1000)</f>
        <v>0</v>
      </c>
      <c r="E105" s="5">
        <f>SUMIF(Apr!$G$2:$G$1000,'2024 Summary'!A105,Apr!$H$2:$H$1000)</f>
        <v>0</v>
      </c>
      <c r="F105" s="5">
        <f>SUMIF(May!$G$2:$G$1000,'2024 Summary'!A105,May!$H$2:$H$1000)</f>
        <v>0</v>
      </c>
      <c r="G105" s="5">
        <f>SUMIF(Jun!$G$2:$G$1000,'2024 Summary'!A105,Jun!$H$2:$H$1000)</f>
        <v>0</v>
      </c>
      <c r="H105" s="5">
        <f>SUMIF(Jul!$G$2:$G$1000,'2024 Summary'!A105,Jul!$H$2:$H$1000)</f>
        <v>0</v>
      </c>
      <c r="I105" s="5">
        <f>SUMIF(Aug!$G$2:$G$1000,'2024 Summary'!A105,Aug!$H$2:$H$1000)</f>
        <v>0</v>
      </c>
      <c r="J105" s="5">
        <f>SUMIF(Sep!$G$2:$G$1000,'2024 Summary'!A105,Sep!$H$2:$H$1000)</f>
        <v>0</v>
      </c>
      <c r="K105" s="5">
        <f>SUMIF(Oct!$G$2:$G$1000,'2024 Summary'!A105,Oct!$H$2:$H$1000)</f>
        <v>0</v>
      </c>
      <c r="L105" s="5">
        <f>SUMIF(Nov!$G$2:$G$1000,'2024 Summary'!A105,Nov!$H$2:$H$1000)</f>
        <v>0</v>
      </c>
      <c r="M105" s="5">
        <f>SUMIF(Dec!$G$2:$G$1000,'2024 Summary'!A105,Dec!$H$2:$H$1000)</f>
        <v>0</v>
      </c>
      <c r="AA105" s="13">
        <f>Feb!G7</f>
        <v>0</v>
      </c>
    </row>
    <row r="106" spans="2:27" x14ac:dyDescent="0.25">
      <c r="B106" s="5">
        <f>SUMIF(Jan!$G$2:$G$1000,'2024 Summary'!A106,Jan!$H$2:$H$1000)</f>
        <v>0</v>
      </c>
      <c r="C106" s="5">
        <f>SUMIF(Feb!$G$2:$G$1000,'2024 Summary'!A106,Feb!$H$2:$H$1000)</f>
        <v>0</v>
      </c>
      <c r="D106" s="5">
        <f>SUMIF(Mar!$G$2:$G$1000,'2024 Summary'!A106,Mar!$H$2:$H$1000)</f>
        <v>0</v>
      </c>
      <c r="E106" s="5">
        <f>SUMIF(Apr!$G$2:$G$1000,'2024 Summary'!A106,Apr!$H$2:$H$1000)</f>
        <v>0</v>
      </c>
      <c r="F106" s="5">
        <f>SUMIF(May!$G$2:$G$1000,'2024 Summary'!A106,May!$H$2:$H$1000)</f>
        <v>0</v>
      </c>
      <c r="G106" s="5">
        <f>SUMIF(Jun!$G$2:$G$1000,'2024 Summary'!A106,Jun!$H$2:$H$1000)</f>
        <v>0</v>
      </c>
      <c r="H106" s="5">
        <f>SUMIF(Jul!$G$2:$G$1000,'2024 Summary'!A106,Jul!$H$2:$H$1000)</f>
        <v>0</v>
      </c>
      <c r="I106" s="5">
        <f>SUMIF(Aug!$G$2:$G$1000,'2024 Summary'!A106,Aug!$H$2:$H$1000)</f>
        <v>0</v>
      </c>
      <c r="J106" s="5">
        <f>SUMIF(Sep!$G$2:$G$1000,'2024 Summary'!A106,Sep!$H$2:$H$1000)</f>
        <v>0</v>
      </c>
      <c r="K106" s="5">
        <f>SUMIF(Oct!$G$2:$G$1000,'2024 Summary'!A106,Oct!$H$2:$H$1000)</f>
        <v>0</v>
      </c>
      <c r="L106" s="5">
        <f>SUMIF(Nov!$G$2:$G$1000,'2024 Summary'!A106,Nov!$H$2:$H$1000)</f>
        <v>0</v>
      </c>
      <c r="M106" s="5">
        <f>SUMIF(Dec!$G$2:$G$1000,'2024 Summary'!A106,Dec!$H$2:$H$1000)</f>
        <v>0</v>
      </c>
      <c r="AA106" s="13">
        <f>Feb!G8</f>
        <v>0</v>
      </c>
    </row>
    <row r="107" spans="2:27" x14ac:dyDescent="0.25">
      <c r="B107" s="5">
        <f>SUMIF(Jan!$G$2:$G$1000,'2024 Summary'!A107,Jan!$H$2:$H$1000)</f>
        <v>0</v>
      </c>
      <c r="C107" s="5">
        <f>SUMIF(Feb!$G$2:$G$1000,'2024 Summary'!A107,Feb!$H$2:$H$1000)</f>
        <v>0</v>
      </c>
      <c r="D107" s="5">
        <f>SUMIF(Mar!$G$2:$G$1000,'2024 Summary'!A107,Mar!$H$2:$H$1000)</f>
        <v>0</v>
      </c>
      <c r="E107" s="5">
        <f>SUMIF(Apr!$G$2:$G$1000,'2024 Summary'!A107,Apr!$H$2:$H$1000)</f>
        <v>0</v>
      </c>
      <c r="F107" s="5">
        <f>SUMIF(May!$G$2:$G$1000,'2024 Summary'!A107,May!$H$2:$H$1000)</f>
        <v>0</v>
      </c>
      <c r="G107" s="5">
        <f>SUMIF(Jun!$G$2:$G$1000,'2024 Summary'!A107,Jun!$H$2:$H$1000)</f>
        <v>0</v>
      </c>
      <c r="H107" s="5">
        <f>SUMIF(Jul!$G$2:$G$1000,'2024 Summary'!A107,Jul!$H$2:$H$1000)</f>
        <v>0</v>
      </c>
      <c r="I107" s="5">
        <f>SUMIF(Aug!$G$2:$G$1000,'2024 Summary'!A107,Aug!$H$2:$H$1000)</f>
        <v>0</v>
      </c>
      <c r="J107" s="5">
        <f>SUMIF(Sep!$G$2:$G$1000,'2024 Summary'!A107,Sep!$H$2:$H$1000)</f>
        <v>0</v>
      </c>
      <c r="K107" s="5">
        <f>SUMIF(Oct!$G$2:$G$1000,'2024 Summary'!A107,Oct!$H$2:$H$1000)</f>
        <v>0</v>
      </c>
      <c r="L107" s="5">
        <f>SUMIF(Nov!$G$2:$G$1000,'2024 Summary'!A107,Nov!$H$2:$H$1000)</f>
        <v>0</v>
      </c>
      <c r="M107" s="5">
        <f>SUMIF(Dec!$G$2:$G$1000,'2024 Summary'!A107,Dec!$H$2:$H$1000)</f>
        <v>0</v>
      </c>
      <c r="AA107" s="13">
        <f>Feb!G9</f>
        <v>0</v>
      </c>
    </row>
    <row r="108" spans="2:27" x14ac:dyDescent="0.25">
      <c r="B108" s="5">
        <f>SUMIF(Jan!$G$2:$G$1000,'2024 Summary'!A108,Jan!$H$2:$H$1000)</f>
        <v>0</v>
      </c>
      <c r="C108" s="5">
        <f>SUMIF(Feb!$G$2:$G$1000,'2024 Summary'!A108,Feb!$H$2:$H$1000)</f>
        <v>0</v>
      </c>
      <c r="D108" s="5">
        <f>SUMIF(Mar!$G$2:$G$1000,'2024 Summary'!A108,Mar!$H$2:$H$1000)</f>
        <v>0</v>
      </c>
      <c r="E108" s="5">
        <f>SUMIF(Apr!$G$2:$G$1000,'2024 Summary'!A108,Apr!$H$2:$H$1000)</f>
        <v>0</v>
      </c>
      <c r="F108" s="5">
        <f>SUMIF(May!$G$2:$G$1000,'2024 Summary'!A108,May!$H$2:$H$1000)</f>
        <v>0</v>
      </c>
      <c r="G108" s="5">
        <f>SUMIF(Jun!$G$2:$G$1000,'2024 Summary'!A108,Jun!$H$2:$H$1000)</f>
        <v>0</v>
      </c>
      <c r="H108" s="5">
        <f>SUMIF(Jul!$G$2:$G$1000,'2024 Summary'!A108,Jul!$H$2:$H$1000)</f>
        <v>0</v>
      </c>
      <c r="I108" s="5">
        <f>SUMIF(Aug!$G$2:$G$1000,'2024 Summary'!A108,Aug!$H$2:$H$1000)</f>
        <v>0</v>
      </c>
      <c r="J108" s="5">
        <f>SUMIF(Sep!$G$2:$G$1000,'2024 Summary'!A108,Sep!$H$2:$H$1000)</f>
        <v>0</v>
      </c>
      <c r="K108" s="5">
        <f>SUMIF(Oct!$G$2:$G$1000,'2024 Summary'!A108,Oct!$H$2:$H$1000)</f>
        <v>0</v>
      </c>
      <c r="L108" s="5">
        <f>SUMIF(Nov!$G$2:$G$1000,'2024 Summary'!A108,Nov!$H$2:$H$1000)</f>
        <v>0</v>
      </c>
      <c r="M108" s="5">
        <f>SUMIF(Dec!$G$2:$G$1000,'2024 Summary'!A108,Dec!$H$2:$H$1000)</f>
        <v>0</v>
      </c>
      <c r="AA108" s="13">
        <f>Feb!G10</f>
        <v>0</v>
      </c>
    </row>
    <row r="109" spans="2:27" x14ac:dyDescent="0.25">
      <c r="B109" s="5">
        <f>SUMIF(Jan!$G$2:$G$1000,'2024 Summary'!A109,Jan!$H$2:$H$1000)</f>
        <v>0</v>
      </c>
      <c r="C109" s="5">
        <f>SUMIF(Feb!$G$2:$G$1000,'2024 Summary'!A109,Feb!$H$2:$H$1000)</f>
        <v>0</v>
      </c>
      <c r="D109" s="5">
        <f>SUMIF(Mar!$G$2:$G$1000,'2024 Summary'!A109,Mar!$H$2:$H$1000)</f>
        <v>0</v>
      </c>
      <c r="E109" s="5">
        <f>SUMIF(Apr!$G$2:$G$1000,'2024 Summary'!A109,Apr!$H$2:$H$1000)</f>
        <v>0</v>
      </c>
      <c r="F109" s="5">
        <f>SUMIF(May!$G$2:$G$1000,'2024 Summary'!A109,May!$H$2:$H$1000)</f>
        <v>0</v>
      </c>
      <c r="G109" s="5">
        <f>SUMIF(Jun!$G$2:$G$1000,'2024 Summary'!A109,Jun!$H$2:$H$1000)</f>
        <v>0</v>
      </c>
      <c r="H109" s="5">
        <f>SUMIF(Jul!$G$2:$G$1000,'2024 Summary'!A109,Jul!$H$2:$H$1000)</f>
        <v>0</v>
      </c>
      <c r="I109" s="5">
        <f>SUMIF(Aug!$G$2:$G$1000,'2024 Summary'!A109,Aug!$H$2:$H$1000)</f>
        <v>0</v>
      </c>
      <c r="J109" s="5">
        <f>SUMIF(Sep!$G$2:$G$1000,'2024 Summary'!A109,Sep!$H$2:$H$1000)</f>
        <v>0</v>
      </c>
      <c r="K109" s="5">
        <f>SUMIF(Oct!$G$2:$G$1000,'2024 Summary'!A109,Oct!$H$2:$H$1000)</f>
        <v>0</v>
      </c>
      <c r="L109" s="5">
        <f>SUMIF(Nov!$G$2:$G$1000,'2024 Summary'!A109,Nov!$H$2:$H$1000)</f>
        <v>0</v>
      </c>
      <c r="M109" s="5">
        <f>SUMIF(Dec!$G$2:$G$1000,'2024 Summary'!A109,Dec!$H$2:$H$1000)</f>
        <v>0</v>
      </c>
      <c r="AA109" s="13">
        <f>Feb!G11</f>
        <v>0</v>
      </c>
    </row>
    <row r="110" spans="2:27" x14ac:dyDescent="0.25">
      <c r="B110" s="5">
        <f>SUMIF(Jan!$G$2:$G$1000,'2024 Summary'!A110,Jan!$H$2:$H$1000)</f>
        <v>0</v>
      </c>
      <c r="C110" s="5">
        <f>SUMIF(Feb!$G$2:$G$1000,'2024 Summary'!A110,Feb!$H$2:$H$1000)</f>
        <v>0</v>
      </c>
      <c r="D110" s="5">
        <f>SUMIF(Mar!$G$2:$G$1000,'2024 Summary'!A110,Mar!$H$2:$H$1000)</f>
        <v>0</v>
      </c>
      <c r="E110" s="5">
        <f>SUMIF(Apr!$G$2:$G$1000,'2024 Summary'!A110,Apr!$H$2:$H$1000)</f>
        <v>0</v>
      </c>
      <c r="F110" s="5">
        <f>SUMIF(May!$G$2:$G$1000,'2024 Summary'!A110,May!$H$2:$H$1000)</f>
        <v>0</v>
      </c>
      <c r="G110" s="5">
        <f>SUMIF(Jun!$G$2:$G$1000,'2024 Summary'!A110,Jun!$H$2:$H$1000)</f>
        <v>0</v>
      </c>
      <c r="H110" s="5">
        <f>SUMIF(Jul!$G$2:$G$1000,'2024 Summary'!A110,Jul!$H$2:$H$1000)</f>
        <v>0</v>
      </c>
      <c r="I110" s="5">
        <f>SUMIF(Aug!$G$2:$G$1000,'2024 Summary'!A110,Aug!$H$2:$H$1000)</f>
        <v>0</v>
      </c>
      <c r="J110" s="5">
        <f>SUMIF(Sep!$G$2:$G$1000,'2024 Summary'!A110,Sep!$H$2:$H$1000)</f>
        <v>0</v>
      </c>
      <c r="K110" s="5">
        <f>SUMIF(Oct!$G$2:$G$1000,'2024 Summary'!A110,Oct!$H$2:$H$1000)</f>
        <v>0</v>
      </c>
      <c r="L110" s="5">
        <f>SUMIF(Nov!$G$2:$G$1000,'2024 Summary'!A110,Nov!$H$2:$H$1000)</f>
        <v>0</v>
      </c>
      <c r="M110" s="5">
        <f>SUMIF(Dec!$G$2:$G$1000,'2024 Summary'!A110,Dec!$H$2:$H$1000)</f>
        <v>0</v>
      </c>
      <c r="AA110" s="13">
        <f>Feb!G12</f>
        <v>0</v>
      </c>
    </row>
    <row r="111" spans="2:27" x14ac:dyDescent="0.25">
      <c r="B111" s="5">
        <f>SUMIF(Jan!$G$2:$G$1000,'2024 Summary'!A111,Jan!$H$2:$H$1000)</f>
        <v>0</v>
      </c>
      <c r="C111" s="5">
        <f>SUMIF(Feb!$G$2:$G$1000,'2024 Summary'!A111,Feb!$H$2:$H$1000)</f>
        <v>0</v>
      </c>
      <c r="D111" s="5">
        <f>SUMIF(Mar!$G$2:$G$1000,'2024 Summary'!A111,Mar!$H$2:$H$1000)</f>
        <v>0</v>
      </c>
      <c r="E111" s="5">
        <f>SUMIF(Apr!$G$2:$G$1000,'2024 Summary'!A111,Apr!$H$2:$H$1000)</f>
        <v>0</v>
      </c>
      <c r="F111" s="5">
        <f>SUMIF(May!$G$2:$G$1000,'2024 Summary'!A111,May!$H$2:$H$1000)</f>
        <v>0</v>
      </c>
      <c r="G111" s="5">
        <f>SUMIF(Jun!$G$2:$G$1000,'2024 Summary'!A111,Jun!$H$2:$H$1000)</f>
        <v>0</v>
      </c>
      <c r="H111" s="5">
        <f>SUMIF(Jul!$G$2:$G$1000,'2024 Summary'!A111,Jul!$H$2:$H$1000)</f>
        <v>0</v>
      </c>
      <c r="I111" s="5">
        <f>SUMIF(Aug!$G$2:$G$1000,'2024 Summary'!A111,Aug!$H$2:$H$1000)</f>
        <v>0</v>
      </c>
      <c r="J111" s="5">
        <f>SUMIF(Sep!$G$2:$G$1000,'2024 Summary'!A111,Sep!$H$2:$H$1000)</f>
        <v>0</v>
      </c>
      <c r="K111" s="5">
        <f>SUMIF(Oct!$G$2:$G$1000,'2024 Summary'!A111,Oct!$H$2:$H$1000)</f>
        <v>0</v>
      </c>
      <c r="L111" s="5">
        <f>SUMIF(Nov!$G$2:$G$1000,'2024 Summary'!A111,Nov!$H$2:$H$1000)</f>
        <v>0</v>
      </c>
      <c r="M111" s="5">
        <f>SUMIF(Dec!$G$2:$G$1000,'2024 Summary'!A111,Dec!$H$2:$H$1000)</f>
        <v>0</v>
      </c>
      <c r="AA111" s="13">
        <f>Feb!G13</f>
        <v>0</v>
      </c>
    </row>
    <row r="112" spans="2:27" x14ac:dyDescent="0.25">
      <c r="B112" s="5">
        <f>SUMIF(Jan!$G$2:$G$1000,'2024 Summary'!A112,Jan!$H$2:$H$1000)</f>
        <v>0</v>
      </c>
      <c r="C112" s="5">
        <f>SUMIF(Feb!$G$2:$G$1000,'2024 Summary'!A112,Feb!$H$2:$H$1000)</f>
        <v>0</v>
      </c>
      <c r="D112" s="5">
        <f>SUMIF(Mar!$G$2:$G$1000,'2024 Summary'!A112,Mar!$H$2:$H$1000)</f>
        <v>0</v>
      </c>
      <c r="E112" s="5">
        <f>SUMIF(Apr!$G$2:$G$1000,'2024 Summary'!A112,Apr!$H$2:$H$1000)</f>
        <v>0</v>
      </c>
      <c r="F112" s="5">
        <f>SUMIF(May!$G$2:$G$1000,'2024 Summary'!A112,May!$H$2:$H$1000)</f>
        <v>0</v>
      </c>
      <c r="G112" s="5">
        <f>SUMIF(Jun!$G$2:$G$1000,'2024 Summary'!A112,Jun!$H$2:$H$1000)</f>
        <v>0</v>
      </c>
      <c r="H112" s="5">
        <f>SUMIF(Jul!$G$2:$G$1000,'2024 Summary'!A112,Jul!$H$2:$H$1000)</f>
        <v>0</v>
      </c>
      <c r="I112" s="5">
        <f>SUMIF(Aug!$G$2:$G$1000,'2024 Summary'!A112,Aug!$H$2:$H$1000)</f>
        <v>0</v>
      </c>
      <c r="J112" s="5">
        <f>SUMIF(Sep!$G$2:$G$1000,'2024 Summary'!A112,Sep!$H$2:$H$1000)</f>
        <v>0</v>
      </c>
      <c r="K112" s="5">
        <f>SUMIF(Oct!$G$2:$G$1000,'2024 Summary'!A112,Oct!$H$2:$H$1000)</f>
        <v>0</v>
      </c>
      <c r="L112" s="5">
        <f>SUMIF(Nov!$G$2:$G$1000,'2024 Summary'!A112,Nov!$H$2:$H$1000)</f>
        <v>0</v>
      </c>
      <c r="M112" s="5">
        <f>SUMIF(Dec!$G$2:$G$1000,'2024 Summary'!A112,Dec!$H$2:$H$1000)</f>
        <v>0</v>
      </c>
      <c r="AA112" s="13">
        <f>Feb!G14</f>
        <v>0</v>
      </c>
    </row>
    <row r="113" spans="2:27" x14ac:dyDescent="0.25">
      <c r="B113" s="5">
        <f>SUMIF(Jan!$G$2:$G$1000,'2024 Summary'!A113,Jan!$H$2:$H$1000)</f>
        <v>0</v>
      </c>
      <c r="C113" s="5">
        <f>SUMIF(Feb!$G$2:$G$1000,'2024 Summary'!A113,Feb!$H$2:$H$1000)</f>
        <v>0</v>
      </c>
      <c r="D113" s="5">
        <f>SUMIF(Mar!$G$2:$G$1000,'2024 Summary'!A113,Mar!$H$2:$H$1000)</f>
        <v>0</v>
      </c>
      <c r="E113" s="5">
        <f>SUMIF(Apr!$G$2:$G$1000,'2024 Summary'!A113,Apr!$H$2:$H$1000)</f>
        <v>0</v>
      </c>
      <c r="F113" s="5">
        <f>SUMIF(May!$G$2:$G$1000,'2024 Summary'!A113,May!$H$2:$H$1000)</f>
        <v>0</v>
      </c>
      <c r="G113" s="5">
        <f>SUMIF(Jun!$G$2:$G$1000,'2024 Summary'!A113,Jun!$H$2:$H$1000)</f>
        <v>0</v>
      </c>
      <c r="H113" s="5">
        <f>SUMIF(Jul!$G$2:$G$1000,'2024 Summary'!A113,Jul!$H$2:$H$1000)</f>
        <v>0</v>
      </c>
      <c r="I113" s="5">
        <f>SUMIF(Aug!$G$2:$G$1000,'2024 Summary'!A113,Aug!$H$2:$H$1000)</f>
        <v>0</v>
      </c>
      <c r="J113" s="5">
        <f>SUMIF(Sep!$G$2:$G$1000,'2024 Summary'!A113,Sep!$H$2:$H$1000)</f>
        <v>0</v>
      </c>
      <c r="K113" s="5">
        <f>SUMIF(Oct!$G$2:$G$1000,'2024 Summary'!A113,Oct!$H$2:$H$1000)</f>
        <v>0</v>
      </c>
      <c r="L113" s="5">
        <f>SUMIF(Nov!$G$2:$G$1000,'2024 Summary'!A113,Nov!$H$2:$H$1000)</f>
        <v>0</v>
      </c>
      <c r="M113" s="5">
        <f>SUMIF(Dec!$G$2:$G$1000,'2024 Summary'!A113,Dec!$H$2:$H$1000)</f>
        <v>0</v>
      </c>
      <c r="AA113" s="13">
        <f>Feb!G15</f>
        <v>0</v>
      </c>
    </row>
    <row r="114" spans="2:27" x14ac:dyDescent="0.25">
      <c r="B114" s="5">
        <f>SUMIF(Jan!$G$2:$G$1000,'2024 Summary'!A114,Jan!$H$2:$H$1000)</f>
        <v>0</v>
      </c>
      <c r="C114" s="5">
        <f>SUMIF(Feb!$G$2:$G$1000,'2024 Summary'!A114,Feb!$H$2:$H$1000)</f>
        <v>0</v>
      </c>
      <c r="D114" s="5">
        <f>SUMIF(Mar!$G$2:$G$1000,'2024 Summary'!A114,Mar!$H$2:$H$1000)</f>
        <v>0</v>
      </c>
      <c r="E114" s="5">
        <f>SUMIF(Apr!$G$2:$G$1000,'2024 Summary'!A114,Apr!$H$2:$H$1000)</f>
        <v>0</v>
      </c>
      <c r="F114" s="5">
        <f>SUMIF(May!$G$2:$G$1000,'2024 Summary'!A114,May!$H$2:$H$1000)</f>
        <v>0</v>
      </c>
      <c r="G114" s="5">
        <f>SUMIF(Jun!$G$2:$G$1000,'2024 Summary'!A114,Jun!$H$2:$H$1000)</f>
        <v>0</v>
      </c>
      <c r="H114" s="5">
        <f>SUMIF(Jul!$G$2:$G$1000,'2024 Summary'!A114,Jul!$H$2:$H$1000)</f>
        <v>0</v>
      </c>
      <c r="I114" s="5">
        <f>SUMIF(Aug!$G$2:$G$1000,'2024 Summary'!A114,Aug!$H$2:$H$1000)</f>
        <v>0</v>
      </c>
      <c r="J114" s="5">
        <f>SUMIF(Sep!$G$2:$G$1000,'2024 Summary'!A114,Sep!$H$2:$H$1000)</f>
        <v>0</v>
      </c>
      <c r="K114" s="5">
        <f>SUMIF(Oct!$G$2:$G$1000,'2024 Summary'!A114,Oct!$H$2:$H$1000)</f>
        <v>0</v>
      </c>
      <c r="L114" s="5">
        <f>SUMIF(Nov!$G$2:$G$1000,'2024 Summary'!A114,Nov!$H$2:$H$1000)</f>
        <v>0</v>
      </c>
      <c r="M114" s="5">
        <f>SUMIF(Dec!$G$2:$G$1000,'2024 Summary'!A114,Dec!$H$2:$H$1000)</f>
        <v>0</v>
      </c>
      <c r="AA114" s="13">
        <f>Feb!G16</f>
        <v>0</v>
      </c>
    </row>
    <row r="115" spans="2:27" x14ac:dyDescent="0.25">
      <c r="B115" s="5">
        <f>SUMIF(Jan!$G$2:$G$1000,'2024 Summary'!A115,Jan!$H$2:$H$1000)</f>
        <v>0</v>
      </c>
      <c r="C115" s="5">
        <f>SUMIF(Feb!$G$2:$G$1000,'2024 Summary'!A115,Feb!$H$2:$H$1000)</f>
        <v>0</v>
      </c>
      <c r="D115" s="5">
        <f>SUMIF(Mar!$G$2:$G$1000,'2024 Summary'!A115,Mar!$H$2:$H$1000)</f>
        <v>0</v>
      </c>
      <c r="E115" s="5">
        <f>SUMIF(Apr!$G$2:$G$1000,'2024 Summary'!A115,Apr!$H$2:$H$1000)</f>
        <v>0</v>
      </c>
      <c r="F115" s="5">
        <f>SUMIF(May!$G$2:$G$1000,'2024 Summary'!A115,May!$H$2:$H$1000)</f>
        <v>0</v>
      </c>
      <c r="G115" s="5">
        <f>SUMIF(Jun!$G$2:$G$1000,'2024 Summary'!A115,Jun!$H$2:$H$1000)</f>
        <v>0</v>
      </c>
      <c r="H115" s="5">
        <f>SUMIF(Jul!$G$2:$G$1000,'2024 Summary'!A115,Jul!$H$2:$H$1000)</f>
        <v>0</v>
      </c>
      <c r="I115" s="5">
        <f>SUMIF(Aug!$G$2:$G$1000,'2024 Summary'!A115,Aug!$H$2:$H$1000)</f>
        <v>0</v>
      </c>
      <c r="J115" s="5">
        <f>SUMIF(Sep!$G$2:$G$1000,'2024 Summary'!A115,Sep!$H$2:$H$1000)</f>
        <v>0</v>
      </c>
      <c r="K115" s="5">
        <f>SUMIF(Oct!$G$2:$G$1000,'2024 Summary'!A115,Oct!$H$2:$H$1000)</f>
        <v>0</v>
      </c>
      <c r="L115" s="5">
        <f>SUMIF(Nov!$G$2:$G$1000,'2024 Summary'!A115,Nov!$H$2:$H$1000)</f>
        <v>0</v>
      </c>
      <c r="M115" s="5">
        <f>SUMIF(Dec!$G$2:$G$1000,'2024 Summary'!A115,Dec!$H$2:$H$1000)</f>
        <v>0</v>
      </c>
      <c r="AA115" s="13">
        <f>Feb!G17</f>
        <v>0</v>
      </c>
    </row>
    <row r="116" spans="2:27" x14ac:dyDescent="0.25">
      <c r="B116" s="5">
        <f>SUMIF(Jan!$G$2:$G$1000,'2024 Summary'!A116,Jan!$H$2:$H$1000)</f>
        <v>0</v>
      </c>
      <c r="C116" s="5">
        <f>SUMIF(Feb!$G$2:$G$1000,'2024 Summary'!A116,Feb!$H$2:$H$1000)</f>
        <v>0</v>
      </c>
      <c r="D116" s="5">
        <f>SUMIF(Mar!$G$2:$G$1000,'2024 Summary'!A116,Mar!$H$2:$H$1000)</f>
        <v>0</v>
      </c>
      <c r="E116" s="5">
        <f>SUMIF(Apr!$G$2:$G$1000,'2024 Summary'!A116,Apr!$H$2:$H$1000)</f>
        <v>0</v>
      </c>
      <c r="F116" s="5">
        <f>SUMIF(May!$G$2:$G$1000,'2024 Summary'!A116,May!$H$2:$H$1000)</f>
        <v>0</v>
      </c>
      <c r="G116" s="5">
        <f>SUMIF(Jun!$G$2:$G$1000,'2024 Summary'!A116,Jun!$H$2:$H$1000)</f>
        <v>0</v>
      </c>
      <c r="H116" s="5">
        <f>SUMIF(Jul!$G$2:$G$1000,'2024 Summary'!A116,Jul!$H$2:$H$1000)</f>
        <v>0</v>
      </c>
      <c r="I116" s="5">
        <f>SUMIF(Aug!$G$2:$G$1000,'2024 Summary'!A116,Aug!$H$2:$H$1000)</f>
        <v>0</v>
      </c>
      <c r="J116" s="5">
        <f>SUMIF(Sep!$G$2:$G$1000,'2024 Summary'!A116,Sep!$H$2:$H$1000)</f>
        <v>0</v>
      </c>
      <c r="K116" s="5">
        <f>SUMIF(Oct!$G$2:$G$1000,'2024 Summary'!A116,Oct!$H$2:$H$1000)</f>
        <v>0</v>
      </c>
      <c r="L116" s="5">
        <f>SUMIF(Nov!$G$2:$G$1000,'2024 Summary'!A116,Nov!$H$2:$H$1000)</f>
        <v>0</v>
      </c>
      <c r="M116" s="5">
        <f>SUMIF(Dec!$G$2:$G$1000,'2024 Summary'!A116,Dec!$H$2:$H$1000)</f>
        <v>0</v>
      </c>
      <c r="AA116" s="13">
        <f>Feb!G18</f>
        <v>0</v>
      </c>
    </row>
    <row r="117" spans="2:27" x14ac:dyDescent="0.25">
      <c r="B117" s="5">
        <f>SUMIF(Jan!$G$2:$G$1000,'2024 Summary'!A117,Jan!$H$2:$H$1000)</f>
        <v>0</v>
      </c>
      <c r="C117" s="5">
        <f>SUMIF(Feb!$G$2:$G$1000,'2024 Summary'!A117,Feb!$H$2:$H$1000)</f>
        <v>0</v>
      </c>
      <c r="D117" s="5">
        <f>SUMIF(Mar!$G$2:$G$1000,'2024 Summary'!A117,Mar!$H$2:$H$1000)</f>
        <v>0</v>
      </c>
      <c r="E117" s="5">
        <f>SUMIF(Apr!$G$2:$G$1000,'2024 Summary'!A117,Apr!$H$2:$H$1000)</f>
        <v>0</v>
      </c>
      <c r="F117" s="5">
        <f>SUMIF(May!$G$2:$G$1000,'2024 Summary'!A117,May!$H$2:$H$1000)</f>
        <v>0</v>
      </c>
      <c r="G117" s="5">
        <f>SUMIF(Jun!$G$2:$G$1000,'2024 Summary'!A117,Jun!$H$2:$H$1000)</f>
        <v>0</v>
      </c>
      <c r="H117" s="5">
        <f>SUMIF(Jul!$G$2:$G$1000,'2024 Summary'!A117,Jul!$H$2:$H$1000)</f>
        <v>0</v>
      </c>
      <c r="I117" s="5">
        <f>SUMIF(Aug!$G$2:$G$1000,'2024 Summary'!A117,Aug!$H$2:$H$1000)</f>
        <v>0</v>
      </c>
      <c r="J117" s="5">
        <f>SUMIF(Sep!$G$2:$G$1000,'2024 Summary'!A117,Sep!$H$2:$H$1000)</f>
        <v>0</v>
      </c>
      <c r="K117" s="5">
        <f>SUMIF(Oct!$G$2:$G$1000,'2024 Summary'!A117,Oct!$H$2:$H$1000)</f>
        <v>0</v>
      </c>
      <c r="L117" s="5">
        <f>SUMIF(Nov!$G$2:$G$1000,'2024 Summary'!A117,Nov!$H$2:$H$1000)</f>
        <v>0</v>
      </c>
      <c r="M117" s="5">
        <f>SUMIF(Dec!$G$2:$G$1000,'2024 Summary'!A117,Dec!$H$2:$H$1000)</f>
        <v>0</v>
      </c>
      <c r="AA117" s="13">
        <f>Feb!G19</f>
        <v>0</v>
      </c>
    </row>
    <row r="118" spans="2:27" x14ac:dyDescent="0.25">
      <c r="B118" s="5">
        <f>SUMIF(Jan!$G$2:$G$1000,'2024 Summary'!A118,Jan!$H$2:$H$1000)</f>
        <v>0</v>
      </c>
      <c r="C118" s="5">
        <f>SUMIF(Feb!$G$2:$G$1000,'2024 Summary'!A118,Feb!$H$2:$H$1000)</f>
        <v>0</v>
      </c>
      <c r="D118" s="5">
        <f>SUMIF(Mar!$G$2:$G$1000,'2024 Summary'!A118,Mar!$H$2:$H$1000)</f>
        <v>0</v>
      </c>
      <c r="E118" s="5">
        <f>SUMIF(Apr!$G$2:$G$1000,'2024 Summary'!A118,Apr!$H$2:$H$1000)</f>
        <v>0</v>
      </c>
      <c r="F118" s="5">
        <f>SUMIF(May!$G$2:$G$1000,'2024 Summary'!A118,May!$H$2:$H$1000)</f>
        <v>0</v>
      </c>
      <c r="G118" s="5">
        <f>SUMIF(Jun!$G$2:$G$1000,'2024 Summary'!A118,Jun!$H$2:$H$1000)</f>
        <v>0</v>
      </c>
      <c r="H118" s="5">
        <f>SUMIF(Jul!$G$2:$G$1000,'2024 Summary'!A118,Jul!$H$2:$H$1000)</f>
        <v>0</v>
      </c>
      <c r="I118" s="5">
        <f>SUMIF(Aug!$G$2:$G$1000,'2024 Summary'!A118,Aug!$H$2:$H$1000)</f>
        <v>0</v>
      </c>
      <c r="J118" s="5">
        <f>SUMIF(Sep!$G$2:$G$1000,'2024 Summary'!A118,Sep!$H$2:$H$1000)</f>
        <v>0</v>
      </c>
      <c r="K118" s="5">
        <f>SUMIF(Oct!$G$2:$G$1000,'2024 Summary'!A118,Oct!$H$2:$H$1000)</f>
        <v>0</v>
      </c>
      <c r="L118" s="5">
        <f>SUMIF(Nov!$G$2:$G$1000,'2024 Summary'!A118,Nov!$H$2:$H$1000)</f>
        <v>0</v>
      </c>
      <c r="M118" s="5">
        <f>SUMIF(Dec!$G$2:$G$1000,'2024 Summary'!A118,Dec!$H$2:$H$1000)</f>
        <v>0</v>
      </c>
      <c r="AA118" s="13">
        <f>Feb!G20</f>
        <v>0</v>
      </c>
    </row>
    <row r="119" spans="2:27" x14ac:dyDescent="0.25">
      <c r="B119" s="5">
        <f>SUMIF(Jan!$G$2:$G$1000,'2024 Summary'!A119,Jan!$H$2:$H$1000)</f>
        <v>0</v>
      </c>
      <c r="C119" s="5">
        <f>SUMIF(Feb!$G$2:$G$1000,'2024 Summary'!A119,Feb!$H$2:$H$1000)</f>
        <v>0</v>
      </c>
      <c r="D119" s="5">
        <f>SUMIF(Mar!$G$2:$G$1000,'2024 Summary'!A119,Mar!$H$2:$H$1000)</f>
        <v>0</v>
      </c>
      <c r="E119" s="5">
        <f>SUMIF(Apr!$G$2:$G$1000,'2024 Summary'!A119,Apr!$H$2:$H$1000)</f>
        <v>0</v>
      </c>
      <c r="F119" s="5">
        <f>SUMIF(May!$G$2:$G$1000,'2024 Summary'!A119,May!$H$2:$H$1000)</f>
        <v>0</v>
      </c>
      <c r="G119" s="5">
        <f>SUMIF(Jun!$G$2:$G$1000,'2024 Summary'!A119,Jun!$H$2:$H$1000)</f>
        <v>0</v>
      </c>
      <c r="H119" s="5">
        <f>SUMIF(Jul!$G$2:$G$1000,'2024 Summary'!A119,Jul!$H$2:$H$1000)</f>
        <v>0</v>
      </c>
      <c r="I119" s="5">
        <f>SUMIF(Aug!$G$2:$G$1000,'2024 Summary'!A119,Aug!$H$2:$H$1000)</f>
        <v>0</v>
      </c>
      <c r="J119" s="5">
        <f>SUMIF(Sep!$G$2:$G$1000,'2024 Summary'!A119,Sep!$H$2:$H$1000)</f>
        <v>0</v>
      </c>
      <c r="K119" s="5">
        <f>SUMIF(Oct!$G$2:$G$1000,'2024 Summary'!A119,Oct!$H$2:$H$1000)</f>
        <v>0</v>
      </c>
      <c r="L119" s="5">
        <f>SUMIF(Nov!$G$2:$G$1000,'2024 Summary'!A119,Nov!$H$2:$H$1000)</f>
        <v>0</v>
      </c>
      <c r="M119" s="5">
        <f>SUMIF(Dec!$G$2:$G$1000,'2024 Summary'!A119,Dec!$H$2:$H$1000)</f>
        <v>0</v>
      </c>
      <c r="AA119" s="13">
        <f>Feb!G21</f>
        <v>0</v>
      </c>
    </row>
    <row r="120" spans="2:27" x14ac:dyDescent="0.25">
      <c r="B120" s="5">
        <f>SUMIF(Jan!$G$2:$G$1000,'2024 Summary'!A120,Jan!$H$2:$H$1000)</f>
        <v>0</v>
      </c>
      <c r="C120" s="5">
        <f>SUMIF(Feb!$G$2:$G$1000,'2024 Summary'!A120,Feb!$H$2:$H$1000)</f>
        <v>0</v>
      </c>
      <c r="D120" s="5">
        <f>SUMIF(Mar!$G$2:$G$1000,'2024 Summary'!A120,Mar!$H$2:$H$1000)</f>
        <v>0</v>
      </c>
      <c r="E120" s="5">
        <f>SUMIF(Apr!$G$2:$G$1000,'2024 Summary'!A120,Apr!$H$2:$H$1000)</f>
        <v>0</v>
      </c>
      <c r="F120" s="5">
        <f>SUMIF(May!$G$2:$G$1000,'2024 Summary'!A120,May!$H$2:$H$1000)</f>
        <v>0</v>
      </c>
      <c r="G120" s="5">
        <f>SUMIF(Jun!$G$2:$G$1000,'2024 Summary'!A120,Jun!$H$2:$H$1000)</f>
        <v>0</v>
      </c>
      <c r="H120" s="5">
        <f>SUMIF(Jul!$G$2:$G$1000,'2024 Summary'!A120,Jul!$H$2:$H$1000)</f>
        <v>0</v>
      </c>
      <c r="I120" s="5">
        <f>SUMIF(Aug!$G$2:$G$1000,'2024 Summary'!A120,Aug!$H$2:$H$1000)</f>
        <v>0</v>
      </c>
      <c r="J120" s="5">
        <f>SUMIF(Sep!$G$2:$G$1000,'2024 Summary'!A120,Sep!$H$2:$H$1000)</f>
        <v>0</v>
      </c>
      <c r="K120" s="5">
        <f>SUMIF(Oct!$G$2:$G$1000,'2024 Summary'!A120,Oct!$H$2:$H$1000)</f>
        <v>0</v>
      </c>
      <c r="L120" s="5">
        <f>SUMIF(Nov!$G$2:$G$1000,'2024 Summary'!A120,Nov!$H$2:$H$1000)</f>
        <v>0</v>
      </c>
      <c r="M120" s="5">
        <f>SUMIF(Dec!$G$2:$G$1000,'2024 Summary'!A120,Dec!$H$2:$H$1000)</f>
        <v>0</v>
      </c>
      <c r="AA120" s="13">
        <f>Feb!G22</f>
        <v>0</v>
      </c>
    </row>
    <row r="121" spans="2:27" x14ac:dyDescent="0.25">
      <c r="B121" s="5">
        <f>SUMIF(Jan!$G$2:$G$1000,'2024 Summary'!A121,Jan!$H$2:$H$1000)</f>
        <v>0</v>
      </c>
      <c r="C121" s="5">
        <f>SUMIF(Feb!$G$2:$G$1000,'2024 Summary'!A121,Feb!$H$2:$H$1000)</f>
        <v>0</v>
      </c>
      <c r="D121" s="5">
        <f>SUMIF(Mar!$G$2:$G$1000,'2024 Summary'!A121,Mar!$H$2:$H$1000)</f>
        <v>0</v>
      </c>
      <c r="E121" s="5">
        <f>SUMIF(Apr!$G$2:$G$1000,'2024 Summary'!A121,Apr!$H$2:$H$1000)</f>
        <v>0</v>
      </c>
      <c r="F121" s="5">
        <f>SUMIF(May!$G$2:$G$1000,'2024 Summary'!A121,May!$H$2:$H$1000)</f>
        <v>0</v>
      </c>
      <c r="G121" s="5">
        <f>SUMIF(Jun!$G$2:$G$1000,'2024 Summary'!A121,Jun!$H$2:$H$1000)</f>
        <v>0</v>
      </c>
      <c r="H121" s="5">
        <f>SUMIF(Jul!$G$2:$G$1000,'2024 Summary'!A121,Jul!$H$2:$H$1000)</f>
        <v>0</v>
      </c>
      <c r="I121" s="5">
        <f>SUMIF(Aug!$G$2:$G$1000,'2024 Summary'!A121,Aug!$H$2:$H$1000)</f>
        <v>0</v>
      </c>
      <c r="J121" s="5">
        <f>SUMIF(Sep!$G$2:$G$1000,'2024 Summary'!A121,Sep!$H$2:$H$1000)</f>
        <v>0</v>
      </c>
      <c r="K121" s="5">
        <f>SUMIF(Oct!$G$2:$G$1000,'2024 Summary'!A121,Oct!$H$2:$H$1000)</f>
        <v>0</v>
      </c>
      <c r="L121" s="5">
        <f>SUMIF(Nov!$G$2:$G$1000,'2024 Summary'!A121,Nov!$H$2:$H$1000)</f>
        <v>0</v>
      </c>
      <c r="M121" s="5">
        <f>SUMIF(Dec!$G$2:$G$1000,'2024 Summary'!A121,Dec!$H$2:$H$1000)</f>
        <v>0</v>
      </c>
      <c r="AA121" s="13">
        <f>Feb!G23</f>
        <v>0</v>
      </c>
    </row>
    <row r="122" spans="2:27" x14ac:dyDescent="0.25">
      <c r="B122" s="5">
        <f>SUMIF(Jan!$G$2:$G$1000,'2024 Summary'!A122,Jan!$H$2:$H$1000)</f>
        <v>0</v>
      </c>
      <c r="C122" s="5">
        <f>SUMIF(Feb!$G$2:$G$1000,'2024 Summary'!A122,Feb!$H$2:$H$1000)</f>
        <v>0</v>
      </c>
      <c r="D122" s="5">
        <f>SUMIF(Mar!$G$2:$G$1000,'2024 Summary'!A122,Mar!$H$2:$H$1000)</f>
        <v>0</v>
      </c>
      <c r="E122" s="5">
        <f>SUMIF(Apr!$G$2:$G$1000,'2024 Summary'!A122,Apr!$H$2:$H$1000)</f>
        <v>0</v>
      </c>
      <c r="F122" s="5">
        <f>SUMIF(May!$G$2:$G$1000,'2024 Summary'!A122,May!$H$2:$H$1000)</f>
        <v>0</v>
      </c>
      <c r="G122" s="5">
        <f>SUMIF(Jun!$G$2:$G$1000,'2024 Summary'!A122,Jun!$H$2:$H$1000)</f>
        <v>0</v>
      </c>
      <c r="H122" s="5">
        <f>SUMIF(Jul!$G$2:$G$1000,'2024 Summary'!A122,Jul!$H$2:$H$1000)</f>
        <v>0</v>
      </c>
      <c r="I122" s="5">
        <f>SUMIF(Aug!$G$2:$G$1000,'2024 Summary'!A122,Aug!$H$2:$H$1000)</f>
        <v>0</v>
      </c>
      <c r="J122" s="5">
        <f>SUMIF(Sep!$G$2:$G$1000,'2024 Summary'!A122,Sep!$H$2:$H$1000)</f>
        <v>0</v>
      </c>
      <c r="K122" s="5">
        <f>SUMIF(Oct!$G$2:$G$1000,'2024 Summary'!A122,Oct!$H$2:$H$1000)</f>
        <v>0</v>
      </c>
      <c r="L122" s="5">
        <f>SUMIF(Nov!$G$2:$G$1000,'2024 Summary'!A122,Nov!$H$2:$H$1000)</f>
        <v>0</v>
      </c>
      <c r="M122" s="5">
        <f>SUMIF(Dec!$G$2:$G$1000,'2024 Summary'!A122,Dec!$H$2:$H$1000)</f>
        <v>0</v>
      </c>
      <c r="AA122" s="13">
        <f>Feb!G24</f>
        <v>0</v>
      </c>
    </row>
    <row r="123" spans="2:27" x14ac:dyDescent="0.25">
      <c r="B123" s="5">
        <f>SUMIF(Jan!$G$2:$G$1000,'2024 Summary'!A123,Jan!$H$2:$H$1000)</f>
        <v>0</v>
      </c>
      <c r="C123" s="5">
        <f>SUMIF(Feb!$G$2:$G$1000,'2024 Summary'!A123,Feb!$H$2:$H$1000)</f>
        <v>0</v>
      </c>
      <c r="D123" s="5">
        <f>SUMIF(Mar!$G$2:$G$1000,'2024 Summary'!A123,Mar!$H$2:$H$1000)</f>
        <v>0</v>
      </c>
      <c r="E123" s="5">
        <f>SUMIF(Apr!$G$2:$G$1000,'2024 Summary'!A123,Apr!$H$2:$H$1000)</f>
        <v>0</v>
      </c>
      <c r="F123" s="5">
        <f>SUMIF(May!$G$2:$G$1000,'2024 Summary'!A123,May!$H$2:$H$1000)</f>
        <v>0</v>
      </c>
      <c r="G123" s="5">
        <f>SUMIF(Jun!$G$2:$G$1000,'2024 Summary'!A123,Jun!$H$2:$H$1000)</f>
        <v>0</v>
      </c>
      <c r="H123" s="5">
        <f>SUMIF(Jul!$G$2:$G$1000,'2024 Summary'!A123,Jul!$H$2:$H$1000)</f>
        <v>0</v>
      </c>
      <c r="I123" s="5">
        <f>SUMIF(Aug!$G$2:$G$1000,'2024 Summary'!A123,Aug!$H$2:$H$1000)</f>
        <v>0</v>
      </c>
      <c r="J123" s="5">
        <f>SUMIF(Sep!$G$2:$G$1000,'2024 Summary'!A123,Sep!$H$2:$H$1000)</f>
        <v>0</v>
      </c>
      <c r="K123" s="5">
        <f>SUMIF(Oct!$G$2:$G$1000,'2024 Summary'!A123,Oct!$H$2:$H$1000)</f>
        <v>0</v>
      </c>
      <c r="L123" s="5">
        <f>SUMIF(Nov!$G$2:$G$1000,'2024 Summary'!A123,Nov!$H$2:$H$1000)</f>
        <v>0</v>
      </c>
      <c r="M123" s="5">
        <f>SUMIF(Dec!$G$2:$G$1000,'2024 Summary'!A123,Dec!$H$2:$H$1000)</f>
        <v>0</v>
      </c>
      <c r="AA123" s="13">
        <f>Feb!G25</f>
        <v>0</v>
      </c>
    </row>
    <row r="124" spans="2:27" x14ac:dyDescent="0.25">
      <c r="B124" s="5">
        <f>SUMIF(Jan!$G$2:$G$1000,'2024 Summary'!A124,Jan!$H$2:$H$1000)</f>
        <v>0</v>
      </c>
      <c r="C124" s="5">
        <f>SUMIF(Feb!$G$2:$G$1000,'2024 Summary'!A124,Feb!$H$2:$H$1000)</f>
        <v>0</v>
      </c>
      <c r="D124" s="5">
        <f>SUMIF(Mar!$G$2:$G$1000,'2024 Summary'!A124,Mar!$H$2:$H$1000)</f>
        <v>0</v>
      </c>
      <c r="E124" s="5">
        <f>SUMIF(Apr!$G$2:$G$1000,'2024 Summary'!A124,Apr!$H$2:$H$1000)</f>
        <v>0</v>
      </c>
      <c r="F124" s="5">
        <f>SUMIF(May!$G$2:$G$1000,'2024 Summary'!A124,May!$H$2:$H$1000)</f>
        <v>0</v>
      </c>
      <c r="G124" s="5">
        <f>SUMIF(Jun!$G$2:$G$1000,'2024 Summary'!A124,Jun!$H$2:$H$1000)</f>
        <v>0</v>
      </c>
      <c r="H124" s="5">
        <f>SUMIF(Jul!$G$2:$G$1000,'2024 Summary'!A124,Jul!$H$2:$H$1000)</f>
        <v>0</v>
      </c>
      <c r="I124" s="5">
        <f>SUMIF(Aug!$G$2:$G$1000,'2024 Summary'!A124,Aug!$H$2:$H$1000)</f>
        <v>0</v>
      </c>
      <c r="J124" s="5">
        <f>SUMIF(Sep!$G$2:$G$1000,'2024 Summary'!A124,Sep!$H$2:$H$1000)</f>
        <v>0</v>
      </c>
      <c r="K124" s="5">
        <f>SUMIF(Oct!$G$2:$G$1000,'2024 Summary'!A124,Oct!$H$2:$H$1000)</f>
        <v>0</v>
      </c>
      <c r="L124" s="5">
        <f>SUMIF(Nov!$G$2:$G$1000,'2024 Summary'!A124,Nov!$H$2:$H$1000)</f>
        <v>0</v>
      </c>
      <c r="M124" s="5">
        <f>SUMIF(Dec!$G$2:$G$1000,'2024 Summary'!A124,Dec!$H$2:$H$1000)</f>
        <v>0</v>
      </c>
      <c r="AA124" s="13">
        <f>Feb!G26</f>
        <v>0</v>
      </c>
    </row>
    <row r="125" spans="2:27" x14ac:dyDescent="0.25">
      <c r="B125" s="5">
        <f>SUMIF(Jan!$G$2:$G$1000,'2024 Summary'!A125,Jan!$H$2:$H$1000)</f>
        <v>0</v>
      </c>
      <c r="C125" s="5">
        <f>SUMIF(Feb!$G$2:$G$1000,'2024 Summary'!A125,Feb!$H$2:$H$1000)</f>
        <v>0</v>
      </c>
      <c r="D125" s="5">
        <f>SUMIF(Mar!$G$2:$G$1000,'2024 Summary'!A125,Mar!$H$2:$H$1000)</f>
        <v>0</v>
      </c>
      <c r="E125" s="5">
        <f>SUMIF(Apr!$G$2:$G$1000,'2024 Summary'!A125,Apr!$H$2:$H$1000)</f>
        <v>0</v>
      </c>
      <c r="F125" s="5">
        <f>SUMIF(May!$G$2:$G$1000,'2024 Summary'!A125,May!$H$2:$H$1000)</f>
        <v>0</v>
      </c>
      <c r="G125" s="5">
        <f>SUMIF(Jun!$G$2:$G$1000,'2024 Summary'!A125,Jun!$H$2:$H$1000)</f>
        <v>0</v>
      </c>
      <c r="H125" s="5">
        <f>SUMIF(Jul!$G$2:$G$1000,'2024 Summary'!A125,Jul!$H$2:$H$1000)</f>
        <v>0</v>
      </c>
      <c r="I125" s="5">
        <f>SUMIF(Aug!$G$2:$G$1000,'2024 Summary'!A125,Aug!$H$2:$H$1000)</f>
        <v>0</v>
      </c>
      <c r="J125" s="5">
        <f>SUMIF(Sep!$G$2:$G$1000,'2024 Summary'!A125,Sep!$H$2:$H$1000)</f>
        <v>0</v>
      </c>
      <c r="K125" s="5">
        <f>SUMIF(Oct!$G$2:$G$1000,'2024 Summary'!A125,Oct!$H$2:$H$1000)</f>
        <v>0</v>
      </c>
      <c r="L125" s="5">
        <f>SUMIF(Nov!$G$2:$G$1000,'2024 Summary'!A125,Nov!$H$2:$H$1000)</f>
        <v>0</v>
      </c>
      <c r="M125" s="5">
        <f>SUMIF(Dec!$G$2:$G$1000,'2024 Summary'!A125,Dec!$H$2:$H$1000)</f>
        <v>0</v>
      </c>
      <c r="AA125" s="13">
        <f>Feb!G27</f>
        <v>0</v>
      </c>
    </row>
    <row r="126" spans="2:27" x14ac:dyDescent="0.25">
      <c r="B126" s="5">
        <f>SUMIF(Jan!$G$2:$G$1000,'2024 Summary'!A126,Jan!$H$2:$H$1000)</f>
        <v>0</v>
      </c>
      <c r="C126" s="5">
        <f>SUMIF(Feb!$G$2:$G$1000,'2024 Summary'!A126,Feb!$H$2:$H$1000)</f>
        <v>0</v>
      </c>
      <c r="D126" s="5">
        <f>SUMIF(Mar!$G$2:$G$1000,'2024 Summary'!A126,Mar!$H$2:$H$1000)</f>
        <v>0</v>
      </c>
      <c r="E126" s="5">
        <f>SUMIF(Apr!$G$2:$G$1000,'2024 Summary'!A126,Apr!$H$2:$H$1000)</f>
        <v>0</v>
      </c>
      <c r="F126" s="5">
        <f>SUMIF(May!$G$2:$G$1000,'2024 Summary'!A126,May!$H$2:$H$1000)</f>
        <v>0</v>
      </c>
      <c r="G126" s="5">
        <f>SUMIF(Jun!$G$2:$G$1000,'2024 Summary'!A126,Jun!$H$2:$H$1000)</f>
        <v>0</v>
      </c>
      <c r="H126" s="5">
        <f>SUMIF(Jul!$G$2:$G$1000,'2024 Summary'!A126,Jul!$H$2:$H$1000)</f>
        <v>0</v>
      </c>
      <c r="I126" s="5">
        <f>SUMIF(Aug!$G$2:$G$1000,'2024 Summary'!A126,Aug!$H$2:$H$1000)</f>
        <v>0</v>
      </c>
      <c r="J126" s="5">
        <f>SUMIF(Sep!$G$2:$G$1000,'2024 Summary'!A126,Sep!$H$2:$H$1000)</f>
        <v>0</v>
      </c>
      <c r="K126" s="5">
        <f>SUMIF(Oct!$G$2:$G$1000,'2024 Summary'!A126,Oct!$H$2:$H$1000)</f>
        <v>0</v>
      </c>
      <c r="L126" s="5">
        <f>SUMIF(Nov!$G$2:$G$1000,'2024 Summary'!A126,Nov!$H$2:$H$1000)</f>
        <v>0</v>
      </c>
      <c r="M126" s="5">
        <f>SUMIF(Dec!$G$2:$G$1000,'2024 Summary'!A126,Dec!$H$2:$H$1000)</f>
        <v>0</v>
      </c>
      <c r="AA126" s="13">
        <f>Feb!G28</f>
        <v>0</v>
      </c>
    </row>
    <row r="127" spans="2:27" x14ac:dyDescent="0.25">
      <c r="B127" s="5">
        <f>SUMIF(Jan!$G$2:$G$1000,'2024 Summary'!A127,Jan!$H$2:$H$1000)</f>
        <v>0</v>
      </c>
      <c r="C127" s="5">
        <f>SUMIF(Feb!$G$2:$G$1000,'2024 Summary'!A127,Feb!$H$2:$H$1000)</f>
        <v>0</v>
      </c>
      <c r="D127" s="5">
        <f>SUMIF(Mar!$G$2:$G$1000,'2024 Summary'!A127,Mar!$H$2:$H$1000)</f>
        <v>0</v>
      </c>
      <c r="E127" s="5">
        <f>SUMIF(Apr!$G$2:$G$1000,'2024 Summary'!A127,Apr!$H$2:$H$1000)</f>
        <v>0</v>
      </c>
      <c r="F127" s="5">
        <f>SUMIF(May!$G$2:$G$1000,'2024 Summary'!A127,May!$H$2:$H$1000)</f>
        <v>0</v>
      </c>
      <c r="G127" s="5">
        <f>SUMIF(Jun!$G$2:$G$1000,'2024 Summary'!A127,Jun!$H$2:$H$1000)</f>
        <v>0</v>
      </c>
      <c r="H127" s="5">
        <f>SUMIF(Jul!$G$2:$G$1000,'2024 Summary'!A127,Jul!$H$2:$H$1000)</f>
        <v>0</v>
      </c>
      <c r="I127" s="5">
        <f>SUMIF(Aug!$G$2:$G$1000,'2024 Summary'!A127,Aug!$H$2:$H$1000)</f>
        <v>0</v>
      </c>
      <c r="J127" s="5">
        <f>SUMIF(Sep!$G$2:$G$1000,'2024 Summary'!A127,Sep!$H$2:$H$1000)</f>
        <v>0</v>
      </c>
      <c r="K127" s="5">
        <f>SUMIF(Oct!$G$2:$G$1000,'2024 Summary'!A127,Oct!$H$2:$H$1000)</f>
        <v>0</v>
      </c>
      <c r="L127" s="5">
        <f>SUMIF(Nov!$G$2:$G$1000,'2024 Summary'!A127,Nov!$H$2:$H$1000)</f>
        <v>0</v>
      </c>
      <c r="M127" s="5">
        <f>SUMIF(Dec!$G$2:$G$1000,'2024 Summary'!A127,Dec!$H$2:$H$1000)</f>
        <v>0</v>
      </c>
      <c r="AA127" s="13">
        <f>Feb!G29</f>
        <v>0</v>
      </c>
    </row>
    <row r="128" spans="2:27" x14ac:dyDescent="0.25">
      <c r="B128" s="5">
        <f>SUMIF(Jan!$G$2:$G$1000,'2024 Summary'!A128,Jan!$H$2:$H$1000)</f>
        <v>0</v>
      </c>
      <c r="C128" s="5">
        <f>SUMIF(Feb!$G$2:$G$1000,'2024 Summary'!A128,Feb!$H$2:$H$1000)</f>
        <v>0</v>
      </c>
      <c r="D128" s="5">
        <f>SUMIF(Mar!$G$2:$G$1000,'2024 Summary'!A128,Mar!$H$2:$H$1000)</f>
        <v>0</v>
      </c>
      <c r="E128" s="5">
        <f>SUMIF(Apr!$G$2:$G$1000,'2024 Summary'!A128,Apr!$H$2:$H$1000)</f>
        <v>0</v>
      </c>
      <c r="F128" s="5">
        <f>SUMIF(May!$G$2:$G$1000,'2024 Summary'!A128,May!$H$2:$H$1000)</f>
        <v>0</v>
      </c>
      <c r="G128" s="5">
        <f>SUMIF(Jun!$G$2:$G$1000,'2024 Summary'!A128,Jun!$H$2:$H$1000)</f>
        <v>0</v>
      </c>
      <c r="H128" s="5">
        <f>SUMIF(Jul!$G$2:$G$1000,'2024 Summary'!A128,Jul!$H$2:$H$1000)</f>
        <v>0</v>
      </c>
      <c r="I128" s="5">
        <f>SUMIF(Aug!$G$2:$G$1000,'2024 Summary'!A128,Aug!$H$2:$H$1000)</f>
        <v>0</v>
      </c>
      <c r="J128" s="5">
        <f>SUMIF(Sep!$G$2:$G$1000,'2024 Summary'!A128,Sep!$H$2:$H$1000)</f>
        <v>0</v>
      </c>
      <c r="K128" s="5">
        <f>SUMIF(Oct!$G$2:$G$1000,'2024 Summary'!A128,Oct!$H$2:$H$1000)</f>
        <v>0</v>
      </c>
      <c r="L128" s="5">
        <f>SUMIF(Nov!$G$2:$G$1000,'2024 Summary'!A128,Nov!$H$2:$H$1000)</f>
        <v>0</v>
      </c>
      <c r="M128" s="5">
        <f>SUMIF(Dec!$G$2:$G$1000,'2024 Summary'!A128,Dec!$H$2:$H$1000)</f>
        <v>0</v>
      </c>
      <c r="AA128" s="13">
        <f>Feb!G30</f>
        <v>0</v>
      </c>
    </row>
    <row r="129" spans="2:27" x14ac:dyDescent="0.25">
      <c r="B129" s="5">
        <f>SUMIF(Jan!$G$2:$G$1000,'2024 Summary'!A129,Jan!$H$2:$H$1000)</f>
        <v>0</v>
      </c>
      <c r="C129" s="5">
        <f>SUMIF(Feb!$G$2:$G$1000,'2024 Summary'!A129,Feb!$H$2:$H$1000)</f>
        <v>0</v>
      </c>
      <c r="D129" s="5">
        <f>SUMIF(Mar!$G$2:$G$1000,'2024 Summary'!A129,Mar!$H$2:$H$1000)</f>
        <v>0</v>
      </c>
      <c r="E129" s="5">
        <f>SUMIF(Apr!$G$2:$G$1000,'2024 Summary'!A129,Apr!$H$2:$H$1000)</f>
        <v>0</v>
      </c>
      <c r="F129" s="5">
        <f>SUMIF(May!$G$2:$G$1000,'2024 Summary'!A129,May!$H$2:$H$1000)</f>
        <v>0</v>
      </c>
      <c r="G129" s="5">
        <f>SUMIF(Jun!$G$2:$G$1000,'2024 Summary'!A129,Jun!$H$2:$H$1000)</f>
        <v>0</v>
      </c>
      <c r="H129" s="5">
        <f>SUMIF(Jul!$G$2:$G$1000,'2024 Summary'!A129,Jul!$H$2:$H$1000)</f>
        <v>0</v>
      </c>
      <c r="I129" s="5">
        <f>SUMIF(Aug!$G$2:$G$1000,'2024 Summary'!A129,Aug!$H$2:$H$1000)</f>
        <v>0</v>
      </c>
      <c r="J129" s="5">
        <f>SUMIF(Sep!$G$2:$G$1000,'2024 Summary'!A129,Sep!$H$2:$H$1000)</f>
        <v>0</v>
      </c>
      <c r="K129" s="5">
        <f>SUMIF(Oct!$G$2:$G$1000,'2024 Summary'!A129,Oct!$H$2:$H$1000)</f>
        <v>0</v>
      </c>
      <c r="L129" s="5">
        <f>SUMIF(Nov!$G$2:$G$1000,'2024 Summary'!A129,Nov!$H$2:$H$1000)</f>
        <v>0</v>
      </c>
      <c r="M129" s="5">
        <f>SUMIF(Dec!$G$2:$G$1000,'2024 Summary'!A129,Dec!$H$2:$H$1000)</f>
        <v>0</v>
      </c>
      <c r="AA129" s="13">
        <f>Feb!G31</f>
        <v>0</v>
      </c>
    </row>
    <row r="130" spans="2:27" x14ac:dyDescent="0.25">
      <c r="B130" s="5">
        <f>SUMIF(Jan!$G$2:$G$1000,'2024 Summary'!A130,Jan!$H$2:$H$1000)</f>
        <v>0</v>
      </c>
      <c r="C130" s="5">
        <f>SUMIF(Feb!$G$2:$G$1000,'2024 Summary'!A130,Feb!$H$2:$H$1000)</f>
        <v>0</v>
      </c>
      <c r="D130" s="5">
        <f>SUMIF(Mar!$G$2:$G$1000,'2024 Summary'!A130,Mar!$H$2:$H$1000)</f>
        <v>0</v>
      </c>
      <c r="E130" s="5">
        <f>SUMIF(Apr!$G$2:$G$1000,'2024 Summary'!A130,Apr!$H$2:$H$1000)</f>
        <v>0</v>
      </c>
      <c r="F130" s="5">
        <f>SUMIF(May!$G$2:$G$1000,'2024 Summary'!A130,May!$H$2:$H$1000)</f>
        <v>0</v>
      </c>
      <c r="G130" s="5">
        <f>SUMIF(Jun!$G$2:$G$1000,'2024 Summary'!A130,Jun!$H$2:$H$1000)</f>
        <v>0</v>
      </c>
      <c r="H130" s="5">
        <f>SUMIF(Jul!$G$2:$G$1000,'2024 Summary'!A130,Jul!$H$2:$H$1000)</f>
        <v>0</v>
      </c>
      <c r="I130" s="5">
        <f>SUMIF(Aug!$G$2:$G$1000,'2024 Summary'!A130,Aug!$H$2:$H$1000)</f>
        <v>0</v>
      </c>
      <c r="J130" s="5">
        <f>SUMIF(Sep!$G$2:$G$1000,'2024 Summary'!A130,Sep!$H$2:$H$1000)</f>
        <v>0</v>
      </c>
      <c r="K130" s="5">
        <f>SUMIF(Oct!$G$2:$G$1000,'2024 Summary'!A130,Oct!$H$2:$H$1000)</f>
        <v>0</v>
      </c>
      <c r="L130" s="5">
        <f>SUMIF(Nov!$G$2:$G$1000,'2024 Summary'!A130,Nov!$H$2:$H$1000)</f>
        <v>0</v>
      </c>
      <c r="M130" s="5">
        <f>SUMIF(Dec!$G$2:$G$1000,'2024 Summary'!A130,Dec!$H$2:$H$1000)</f>
        <v>0</v>
      </c>
      <c r="AA130" s="13">
        <f>Feb!G32</f>
        <v>0</v>
      </c>
    </row>
    <row r="131" spans="2:27" x14ac:dyDescent="0.25">
      <c r="B131" s="5">
        <f>SUMIF(Jan!$G$2:$G$1000,'2024 Summary'!A131,Jan!$H$2:$H$1000)</f>
        <v>0</v>
      </c>
      <c r="C131" s="5">
        <f>SUMIF(Feb!$G$2:$G$1000,'2024 Summary'!A131,Feb!$H$2:$H$1000)</f>
        <v>0</v>
      </c>
      <c r="D131" s="5">
        <f>SUMIF(Mar!$G$2:$G$1000,'2024 Summary'!A131,Mar!$H$2:$H$1000)</f>
        <v>0</v>
      </c>
      <c r="E131" s="5">
        <f>SUMIF(Apr!$G$2:$G$1000,'2024 Summary'!A131,Apr!$H$2:$H$1000)</f>
        <v>0</v>
      </c>
      <c r="F131" s="5">
        <f>SUMIF(May!$G$2:$G$1000,'2024 Summary'!A131,May!$H$2:$H$1000)</f>
        <v>0</v>
      </c>
      <c r="G131" s="5">
        <f>SUMIF(Jun!$G$2:$G$1000,'2024 Summary'!A131,Jun!$H$2:$H$1000)</f>
        <v>0</v>
      </c>
      <c r="H131" s="5">
        <f>SUMIF(Jul!$G$2:$G$1000,'2024 Summary'!A131,Jul!$H$2:$H$1000)</f>
        <v>0</v>
      </c>
      <c r="I131" s="5">
        <f>SUMIF(Aug!$G$2:$G$1000,'2024 Summary'!A131,Aug!$H$2:$H$1000)</f>
        <v>0</v>
      </c>
      <c r="J131" s="5">
        <f>SUMIF(Sep!$G$2:$G$1000,'2024 Summary'!A131,Sep!$H$2:$H$1000)</f>
        <v>0</v>
      </c>
      <c r="K131" s="5">
        <f>SUMIF(Oct!$G$2:$G$1000,'2024 Summary'!A131,Oct!$H$2:$H$1000)</f>
        <v>0</v>
      </c>
      <c r="L131" s="5">
        <f>SUMIF(Nov!$G$2:$G$1000,'2024 Summary'!A131,Nov!$H$2:$H$1000)</f>
        <v>0</v>
      </c>
      <c r="M131" s="5">
        <f>SUMIF(Dec!$G$2:$G$1000,'2024 Summary'!A131,Dec!$H$2:$H$1000)</f>
        <v>0</v>
      </c>
      <c r="AA131" s="13">
        <f>Feb!G33</f>
        <v>0</v>
      </c>
    </row>
    <row r="132" spans="2:27" x14ac:dyDescent="0.25">
      <c r="B132" s="5">
        <f>SUMIF(Jan!$G$2:$G$1000,'2024 Summary'!A132,Jan!$H$2:$H$1000)</f>
        <v>0</v>
      </c>
      <c r="C132" s="5">
        <f>SUMIF(Feb!$G$2:$G$1000,'2024 Summary'!A132,Feb!$H$2:$H$1000)</f>
        <v>0</v>
      </c>
      <c r="D132" s="5">
        <f>SUMIF(Mar!$G$2:$G$1000,'2024 Summary'!A132,Mar!$H$2:$H$1000)</f>
        <v>0</v>
      </c>
      <c r="E132" s="5">
        <f>SUMIF(Apr!$G$2:$G$1000,'2024 Summary'!A132,Apr!$H$2:$H$1000)</f>
        <v>0</v>
      </c>
      <c r="F132" s="5">
        <f>SUMIF(May!$G$2:$G$1000,'2024 Summary'!A132,May!$H$2:$H$1000)</f>
        <v>0</v>
      </c>
      <c r="G132" s="5">
        <f>SUMIF(Jun!$G$2:$G$1000,'2024 Summary'!A132,Jun!$H$2:$H$1000)</f>
        <v>0</v>
      </c>
      <c r="H132" s="5">
        <f>SUMIF(Jul!$G$2:$G$1000,'2024 Summary'!A132,Jul!$H$2:$H$1000)</f>
        <v>0</v>
      </c>
      <c r="I132" s="5">
        <f>SUMIF(Aug!$G$2:$G$1000,'2024 Summary'!A132,Aug!$H$2:$H$1000)</f>
        <v>0</v>
      </c>
      <c r="J132" s="5">
        <f>SUMIF(Sep!$G$2:$G$1000,'2024 Summary'!A132,Sep!$H$2:$H$1000)</f>
        <v>0</v>
      </c>
      <c r="K132" s="5">
        <f>SUMIF(Oct!$G$2:$G$1000,'2024 Summary'!A132,Oct!$H$2:$H$1000)</f>
        <v>0</v>
      </c>
      <c r="L132" s="5">
        <f>SUMIF(Nov!$G$2:$G$1000,'2024 Summary'!A132,Nov!$H$2:$H$1000)</f>
        <v>0</v>
      </c>
      <c r="M132" s="5">
        <f>SUMIF(Dec!$G$2:$G$1000,'2024 Summary'!A132,Dec!$H$2:$H$1000)</f>
        <v>0</v>
      </c>
      <c r="AA132" s="13">
        <f>Feb!G34</f>
        <v>0</v>
      </c>
    </row>
    <row r="133" spans="2:27" x14ac:dyDescent="0.25">
      <c r="B133" s="5">
        <f>SUMIF(Jan!$G$2:$G$1000,'2024 Summary'!A133,Jan!$H$2:$H$1000)</f>
        <v>0</v>
      </c>
      <c r="C133" s="5">
        <f>SUMIF(Feb!$G$2:$G$1000,'2024 Summary'!A133,Feb!$H$2:$H$1000)</f>
        <v>0</v>
      </c>
      <c r="D133" s="5">
        <f>SUMIF(Mar!$G$2:$G$1000,'2024 Summary'!A133,Mar!$H$2:$H$1000)</f>
        <v>0</v>
      </c>
      <c r="E133" s="5">
        <f>SUMIF(Apr!$G$2:$G$1000,'2024 Summary'!A133,Apr!$H$2:$H$1000)</f>
        <v>0</v>
      </c>
      <c r="F133" s="5">
        <f>SUMIF(May!$G$2:$G$1000,'2024 Summary'!A133,May!$H$2:$H$1000)</f>
        <v>0</v>
      </c>
      <c r="G133" s="5">
        <f>SUMIF(Jun!$G$2:$G$1000,'2024 Summary'!A133,Jun!$H$2:$H$1000)</f>
        <v>0</v>
      </c>
      <c r="H133" s="5">
        <f>SUMIF(Jul!$G$2:$G$1000,'2024 Summary'!A133,Jul!$H$2:$H$1000)</f>
        <v>0</v>
      </c>
      <c r="I133" s="5">
        <f>SUMIF(Aug!$G$2:$G$1000,'2024 Summary'!A133,Aug!$H$2:$H$1000)</f>
        <v>0</v>
      </c>
      <c r="J133" s="5">
        <f>SUMIF(Sep!$G$2:$G$1000,'2024 Summary'!A133,Sep!$H$2:$H$1000)</f>
        <v>0</v>
      </c>
      <c r="K133" s="5">
        <f>SUMIF(Oct!$G$2:$G$1000,'2024 Summary'!A133,Oct!$H$2:$H$1000)</f>
        <v>0</v>
      </c>
      <c r="L133" s="5">
        <f>SUMIF(Nov!$G$2:$G$1000,'2024 Summary'!A133,Nov!$H$2:$H$1000)</f>
        <v>0</v>
      </c>
      <c r="M133" s="5">
        <f>SUMIF(Dec!$G$2:$G$1000,'2024 Summary'!A133,Dec!$H$2:$H$1000)</f>
        <v>0</v>
      </c>
      <c r="AA133" s="13">
        <f>Feb!G35</f>
        <v>0</v>
      </c>
    </row>
    <row r="134" spans="2:27" x14ac:dyDescent="0.25">
      <c r="B134" s="5">
        <f>SUMIF(Jan!$G$2:$G$1000,'2024 Summary'!A134,Jan!$H$2:$H$1000)</f>
        <v>0</v>
      </c>
      <c r="C134" s="5">
        <f>SUMIF(Feb!$G$2:$G$1000,'2024 Summary'!A134,Feb!$H$2:$H$1000)</f>
        <v>0</v>
      </c>
      <c r="D134" s="5">
        <f>SUMIF(Mar!$G$2:$G$1000,'2024 Summary'!A134,Mar!$H$2:$H$1000)</f>
        <v>0</v>
      </c>
      <c r="E134" s="5">
        <f>SUMIF(Apr!$G$2:$G$1000,'2024 Summary'!A134,Apr!$H$2:$H$1000)</f>
        <v>0</v>
      </c>
      <c r="F134" s="5">
        <f>SUMIF(May!$G$2:$G$1000,'2024 Summary'!A134,May!$H$2:$H$1000)</f>
        <v>0</v>
      </c>
      <c r="G134" s="5">
        <f>SUMIF(Jun!$G$2:$G$1000,'2024 Summary'!A134,Jun!$H$2:$H$1000)</f>
        <v>0</v>
      </c>
      <c r="H134" s="5">
        <f>SUMIF(Jul!$G$2:$G$1000,'2024 Summary'!A134,Jul!$H$2:$H$1000)</f>
        <v>0</v>
      </c>
      <c r="I134" s="5">
        <f>SUMIF(Aug!$G$2:$G$1000,'2024 Summary'!A134,Aug!$H$2:$H$1000)</f>
        <v>0</v>
      </c>
      <c r="J134" s="5">
        <f>SUMIF(Sep!$G$2:$G$1000,'2024 Summary'!A134,Sep!$H$2:$H$1000)</f>
        <v>0</v>
      </c>
      <c r="K134" s="5">
        <f>SUMIF(Oct!$G$2:$G$1000,'2024 Summary'!A134,Oct!$H$2:$H$1000)</f>
        <v>0</v>
      </c>
      <c r="L134" s="5">
        <f>SUMIF(Nov!$G$2:$G$1000,'2024 Summary'!A134,Nov!$H$2:$H$1000)</f>
        <v>0</v>
      </c>
      <c r="M134" s="5">
        <f>SUMIF(Dec!$G$2:$G$1000,'2024 Summary'!A134,Dec!$H$2:$H$1000)</f>
        <v>0</v>
      </c>
      <c r="AA134" s="13">
        <f>Feb!G36</f>
        <v>0</v>
      </c>
    </row>
    <row r="135" spans="2:27" x14ac:dyDescent="0.25">
      <c r="B135" s="5">
        <f>SUMIF(Jan!$G$2:$G$1000,'2024 Summary'!A135,Jan!$H$2:$H$1000)</f>
        <v>0</v>
      </c>
      <c r="C135" s="5">
        <f>SUMIF(Feb!$G$2:$G$1000,'2024 Summary'!A135,Feb!$H$2:$H$1000)</f>
        <v>0</v>
      </c>
      <c r="D135" s="5">
        <f>SUMIF(Mar!$G$2:$G$1000,'2024 Summary'!A135,Mar!$H$2:$H$1000)</f>
        <v>0</v>
      </c>
      <c r="E135" s="5">
        <f>SUMIF(Apr!$G$2:$G$1000,'2024 Summary'!A135,Apr!$H$2:$H$1000)</f>
        <v>0</v>
      </c>
      <c r="F135" s="5">
        <f>SUMIF(May!$G$2:$G$1000,'2024 Summary'!A135,May!$H$2:$H$1000)</f>
        <v>0</v>
      </c>
      <c r="G135" s="5">
        <f>SUMIF(Jun!$G$2:$G$1000,'2024 Summary'!A135,Jun!$H$2:$H$1000)</f>
        <v>0</v>
      </c>
      <c r="H135" s="5">
        <f>SUMIF(Jul!$G$2:$G$1000,'2024 Summary'!A135,Jul!$H$2:$H$1000)</f>
        <v>0</v>
      </c>
      <c r="I135" s="5">
        <f>SUMIF(Aug!$G$2:$G$1000,'2024 Summary'!A135,Aug!$H$2:$H$1000)</f>
        <v>0</v>
      </c>
      <c r="J135" s="5">
        <f>SUMIF(Sep!$G$2:$G$1000,'2024 Summary'!A135,Sep!$H$2:$H$1000)</f>
        <v>0</v>
      </c>
      <c r="K135" s="5">
        <f>SUMIF(Oct!$G$2:$G$1000,'2024 Summary'!A135,Oct!$H$2:$H$1000)</f>
        <v>0</v>
      </c>
      <c r="L135" s="5">
        <f>SUMIF(Nov!$G$2:$G$1000,'2024 Summary'!A135,Nov!$H$2:$H$1000)</f>
        <v>0</v>
      </c>
      <c r="M135" s="5">
        <f>SUMIF(Dec!$G$2:$G$1000,'2024 Summary'!A135,Dec!$H$2:$H$1000)</f>
        <v>0</v>
      </c>
      <c r="AA135" s="13">
        <f>Feb!G37</f>
        <v>0</v>
      </c>
    </row>
    <row r="136" spans="2:27" x14ac:dyDescent="0.25">
      <c r="B136" s="5">
        <f>SUMIF(Jan!$G$2:$G$1000,'2024 Summary'!A136,Jan!$H$2:$H$1000)</f>
        <v>0</v>
      </c>
      <c r="C136" s="5">
        <f>SUMIF(Feb!$G$2:$G$1000,'2024 Summary'!A136,Feb!$H$2:$H$1000)</f>
        <v>0</v>
      </c>
      <c r="D136" s="5">
        <f>SUMIF(Mar!$G$2:$G$1000,'2024 Summary'!A136,Mar!$H$2:$H$1000)</f>
        <v>0</v>
      </c>
      <c r="E136" s="5">
        <f>SUMIF(Apr!$G$2:$G$1000,'2024 Summary'!A136,Apr!$H$2:$H$1000)</f>
        <v>0</v>
      </c>
      <c r="F136" s="5">
        <f>SUMIF(May!$G$2:$G$1000,'2024 Summary'!A136,May!$H$2:$H$1000)</f>
        <v>0</v>
      </c>
      <c r="G136" s="5">
        <f>SUMIF(Jun!$G$2:$G$1000,'2024 Summary'!A136,Jun!$H$2:$H$1000)</f>
        <v>0</v>
      </c>
      <c r="H136" s="5">
        <f>SUMIF(Jul!$G$2:$G$1000,'2024 Summary'!A136,Jul!$H$2:$H$1000)</f>
        <v>0</v>
      </c>
      <c r="I136" s="5">
        <f>SUMIF(Aug!$G$2:$G$1000,'2024 Summary'!A136,Aug!$H$2:$H$1000)</f>
        <v>0</v>
      </c>
      <c r="J136" s="5">
        <f>SUMIF(Sep!$G$2:$G$1000,'2024 Summary'!A136,Sep!$H$2:$H$1000)</f>
        <v>0</v>
      </c>
      <c r="K136" s="5">
        <f>SUMIF(Oct!$G$2:$G$1000,'2024 Summary'!A136,Oct!$H$2:$H$1000)</f>
        <v>0</v>
      </c>
      <c r="L136" s="5">
        <f>SUMIF(Nov!$G$2:$G$1000,'2024 Summary'!A136,Nov!$H$2:$H$1000)</f>
        <v>0</v>
      </c>
      <c r="M136" s="5">
        <f>SUMIF(Dec!$G$2:$G$1000,'2024 Summary'!A136,Dec!$H$2:$H$1000)</f>
        <v>0</v>
      </c>
      <c r="AA136" s="13">
        <f>Feb!G38</f>
        <v>0</v>
      </c>
    </row>
    <row r="137" spans="2:27" x14ac:dyDescent="0.25">
      <c r="B137" s="5">
        <f>SUMIF(Jan!$G$2:$G$1000,'2024 Summary'!A137,Jan!$H$2:$H$1000)</f>
        <v>0</v>
      </c>
      <c r="C137" s="5">
        <f>SUMIF(Feb!$G$2:$G$1000,'2024 Summary'!A137,Feb!$H$2:$H$1000)</f>
        <v>0</v>
      </c>
      <c r="D137" s="5">
        <f>SUMIF(Mar!$G$2:$G$1000,'2024 Summary'!A137,Mar!$H$2:$H$1000)</f>
        <v>0</v>
      </c>
      <c r="E137" s="5">
        <f>SUMIF(Apr!$G$2:$G$1000,'2024 Summary'!A137,Apr!$H$2:$H$1000)</f>
        <v>0</v>
      </c>
      <c r="F137" s="5">
        <f>SUMIF(May!$G$2:$G$1000,'2024 Summary'!A137,May!$H$2:$H$1000)</f>
        <v>0</v>
      </c>
      <c r="G137" s="5">
        <f>SUMIF(Jun!$G$2:$G$1000,'2024 Summary'!A137,Jun!$H$2:$H$1000)</f>
        <v>0</v>
      </c>
      <c r="H137" s="5">
        <f>SUMIF(Jul!$G$2:$G$1000,'2024 Summary'!A137,Jul!$H$2:$H$1000)</f>
        <v>0</v>
      </c>
      <c r="I137" s="5">
        <f>SUMIF(Aug!$G$2:$G$1000,'2024 Summary'!A137,Aug!$H$2:$H$1000)</f>
        <v>0</v>
      </c>
      <c r="J137" s="5">
        <f>SUMIF(Sep!$G$2:$G$1000,'2024 Summary'!A137,Sep!$H$2:$H$1000)</f>
        <v>0</v>
      </c>
      <c r="K137" s="5">
        <f>SUMIF(Oct!$G$2:$G$1000,'2024 Summary'!A137,Oct!$H$2:$H$1000)</f>
        <v>0</v>
      </c>
      <c r="L137" s="5">
        <f>SUMIF(Nov!$G$2:$G$1000,'2024 Summary'!A137,Nov!$H$2:$H$1000)</f>
        <v>0</v>
      </c>
      <c r="M137" s="5">
        <f>SUMIF(Dec!$G$2:$G$1000,'2024 Summary'!A137,Dec!$H$2:$H$1000)</f>
        <v>0</v>
      </c>
      <c r="AA137" s="13">
        <f>Feb!G39</f>
        <v>0</v>
      </c>
    </row>
    <row r="138" spans="2:27" x14ac:dyDescent="0.25">
      <c r="B138" s="5">
        <f>SUMIF(Jan!$G$2:$G$1000,'2024 Summary'!A138,Jan!$H$2:$H$1000)</f>
        <v>0</v>
      </c>
      <c r="C138" s="5">
        <f>SUMIF(Feb!$G$2:$G$1000,'2024 Summary'!A138,Feb!$H$2:$H$1000)</f>
        <v>0</v>
      </c>
      <c r="D138" s="5">
        <f>SUMIF(Mar!$G$2:$G$1000,'2024 Summary'!A138,Mar!$H$2:$H$1000)</f>
        <v>0</v>
      </c>
      <c r="E138" s="5">
        <f>SUMIF(Apr!$G$2:$G$1000,'2024 Summary'!A138,Apr!$H$2:$H$1000)</f>
        <v>0</v>
      </c>
      <c r="F138" s="5">
        <f>SUMIF(May!$G$2:$G$1000,'2024 Summary'!A138,May!$H$2:$H$1000)</f>
        <v>0</v>
      </c>
      <c r="G138" s="5">
        <f>SUMIF(Jun!$G$2:$G$1000,'2024 Summary'!A138,Jun!$H$2:$H$1000)</f>
        <v>0</v>
      </c>
      <c r="H138" s="5">
        <f>SUMIF(Jul!$G$2:$G$1000,'2024 Summary'!A138,Jul!$H$2:$H$1000)</f>
        <v>0</v>
      </c>
      <c r="I138" s="5">
        <f>SUMIF(Aug!$G$2:$G$1000,'2024 Summary'!A138,Aug!$H$2:$H$1000)</f>
        <v>0</v>
      </c>
      <c r="J138" s="5">
        <f>SUMIF(Sep!$G$2:$G$1000,'2024 Summary'!A138,Sep!$H$2:$H$1000)</f>
        <v>0</v>
      </c>
      <c r="K138" s="5">
        <f>SUMIF(Oct!$G$2:$G$1000,'2024 Summary'!A138,Oct!$H$2:$H$1000)</f>
        <v>0</v>
      </c>
      <c r="L138" s="5">
        <f>SUMIF(Nov!$G$2:$G$1000,'2024 Summary'!A138,Nov!$H$2:$H$1000)</f>
        <v>0</v>
      </c>
      <c r="M138" s="5">
        <f>SUMIF(Dec!$G$2:$G$1000,'2024 Summary'!A138,Dec!$H$2:$H$1000)</f>
        <v>0</v>
      </c>
      <c r="AA138" s="13">
        <f>Feb!G40</f>
        <v>0</v>
      </c>
    </row>
    <row r="139" spans="2:27" x14ac:dyDescent="0.25">
      <c r="B139" s="5">
        <f>SUMIF(Jan!$G$2:$G$1000,'2024 Summary'!A139,Jan!$H$2:$H$1000)</f>
        <v>0</v>
      </c>
      <c r="C139" s="5">
        <f>SUMIF(Feb!$G$2:$G$1000,'2024 Summary'!A139,Feb!$H$2:$H$1000)</f>
        <v>0</v>
      </c>
      <c r="D139" s="5">
        <f>SUMIF(Mar!$G$2:$G$1000,'2024 Summary'!A139,Mar!$H$2:$H$1000)</f>
        <v>0</v>
      </c>
      <c r="E139" s="5">
        <f>SUMIF(Apr!$G$2:$G$1000,'2024 Summary'!A139,Apr!$H$2:$H$1000)</f>
        <v>0</v>
      </c>
      <c r="F139" s="5">
        <f>SUMIF(May!$G$2:$G$1000,'2024 Summary'!A139,May!$H$2:$H$1000)</f>
        <v>0</v>
      </c>
      <c r="G139" s="5">
        <f>SUMIF(Jun!$G$2:$G$1000,'2024 Summary'!A139,Jun!$H$2:$H$1000)</f>
        <v>0</v>
      </c>
      <c r="H139" s="5">
        <f>SUMIF(Jul!$G$2:$G$1000,'2024 Summary'!A139,Jul!$H$2:$H$1000)</f>
        <v>0</v>
      </c>
      <c r="I139" s="5">
        <f>SUMIF(Aug!$G$2:$G$1000,'2024 Summary'!A139,Aug!$H$2:$H$1000)</f>
        <v>0</v>
      </c>
      <c r="J139" s="5">
        <f>SUMIF(Sep!$G$2:$G$1000,'2024 Summary'!A139,Sep!$H$2:$H$1000)</f>
        <v>0</v>
      </c>
      <c r="K139" s="5">
        <f>SUMIF(Oct!$G$2:$G$1000,'2024 Summary'!A139,Oct!$H$2:$H$1000)</f>
        <v>0</v>
      </c>
      <c r="L139" s="5">
        <f>SUMIF(Nov!$G$2:$G$1000,'2024 Summary'!A139,Nov!$H$2:$H$1000)</f>
        <v>0</v>
      </c>
      <c r="M139" s="5">
        <f>SUMIF(Dec!$G$2:$G$1000,'2024 Summary'!A139,Dec!$H$2:$H$1000)</f>
        <v>0</v>
      </c>
      <c r="AA139" s="13">
        <f>Feb!G41</f>
        <v>0</v>
      </c>
    </row>
    <row r="140" spans="2:27" x14ac:dyDescent="0.25">
      <c r="B140" s="5">
        <f>SUMIF(Jan!$G$2:$G$1000,'2024 Summary'!A140,Jan!$H$2:$H$1000)</f>
        <v>0</v>
      </c>
      <c r="C140" s="5">
        <f>SUMIF(Feb!$G$2:$G$1000,'2024 Summary'!A140,Feb!$H$2:$H$1000)</f>
        <v>0</v>
      </c>
      <c r="D140" s="5">
        <f>SUMIF(Mar!$G$2:$G$1000,'2024 Summary'!A140,Mar!$H$2:$H$1000)</f>
        <v>0</v>
      </c>
      <c r="E140" s="5">
        <f>SUMIF(Apr!$G$2:$G$1000,'2024 Summary'!A140,Apr!$H$2:$H$1000)</f>
        <v>0</v>
      </c>
      <c r="F140" s="5">
        <f>SUMIF(May!$G$2:$G$1000,'2024 Summary'!A140,May!$H$2:$H$1000)</f>
        <v>0</v>
      </c>
      <c r="G140" s="5">
        <f>SUMIF(Jun!$G$2:$G$1000,'2024 Summary'!A140,Jun!$H$2:$H$1000)</f>
        <v>0</v>
      </c>
      <c r="H140" s="5">
        <f>SUMIF(Jul!$G$2:$G$1000,'2024 Summary'!A140,Jul!$H$2:$H$1000)</f>
        <v>0</v>
      </c>
      <c r="I140" s="5">
        <f>SUMIF(Aug!$G$2:$G$1000,'2024 Summary'!A140,Aug!$H$2:$H$1000)</f>
        <v>0</v>
      </c>
      <c r="J140" s="5">
        <f>SUMIF(Sep!$G$2:$G$1000,'2024 Summary'!A140,Sep!$H$2:$H$1000)</f>
        <v>0</v>
      </c>
      <c r="K140" s="5">
        <f>SUMIF(Oct!$G$2:$G$1000,'2024 Summary'!A140,Oct!$H$2:$H$1000)</f>
        <v>0</v>
      </c>
      <c r="L140" s="5">
        <f>SUMIF(Nov!$G$2:$G$1000,'2024 Summary'!A140,Nov!$H$2:$H$1000)</f>
        <v>0</v>
      </c>
      <c r="M140" s="5">
        <f>SUMIF(Dec!$G$2:$G$1000,'2024 Summary'!A140,Dec!$H$2:$H$1000)</f>
        <v>0</v>
      </c>
      <c r="AA140" s="13">
        <f>Feb!G42</f>
        <v>0</v>
      </c>
    </row>
    <row r="141" spans="2:27" x14ac:dyDescent="0.25">
      <c r="B141" s="5">
        <f>SUMIF(Jan!$G$2:$G$1000,'2024 Summary'!A141,Jan!$H$2:$H$1000)</f>
        <v>0</v>
      </c>
      <c r="C141" s="5">
        <f>SUMIF(Feb!$G$2:$G$1000,'2024 Summary'!A141,Feb!$H$2:$H$1000)</f>
        <v>0</v>
      </c>
      <c r="D141" s="5">
        <f>SUMIF(Mar!$G$2:$G$1000,'2024 Summary'!A141,Mar!$H$2:$H$1000)</f>
        <v>0</v>
      </c>
      <c r="E141" s="5">
        <f>SUMIF(Apr!$G$2:$G$1000,'2024 Summary'!A141,Apr!$H$2:$H$1000)</f>
        <v>0</v>
      </c>
      <c r="F141" s="5">
        <f>SUMIF(May!$G$2:$G$1000,'2024 Summary'!A141,May!$H$2:$H$1000)</f>
        <v>0</v>
      </c>
      <c r="G141" s="5">
        <f>SUMIF(Jun!$G$2:$G$1000,'2024 Summary'!A141,Jun!$H$2:$H$1000)</f>
        <v>0</v>
      </c>
      <c r="H141" s="5">
        <f>SUMIF(Jul!$G$2:$G$1000,'2024 Summary'!A141,Jul!$H$2:$H$1000)</f>
        <v>0</v>
      </c>
      <c r="I141" s="5">
        <f>SUMIF(Aug!$G$2:$G$1000,'2024 Summary'!A141,Aug!$H$2:$H$1000)</f>
        <v>0</v>
      </c>
      <c r="J141" s="5">
        <f>SUMIF(Sep!$G$2:$G$1000,'2024 Summary'!A141,Sep!$H$2:$H$1000)</f>
        <v>0</v>
      </c>
      <c r="K141" s="5">
        <f>SUMIF(Oct!$G$2:$G$1000,'2024 Summary'!A141,Oct!$H$2:$H$1000)</f>
        <v>0</v>
      </c>
      <c r="L141" s="5">
        <f>SUMIF(Nov!$G$2:$G$1000,'2024 Summary'!A141,Nov!$H$2:$H$1000)</f>
        <v>0</v>
      </c>
      <c r="M141" s="5">
        <f>SUMIF(Dec!$G$2:$G$1000,'2024 Summary'!A141,Dec!$H$2:$H$1000)</f>
        <v>0</v>
      </c>
      <c r="AA141" s="13">
        <f>Feb!G43</f>
        <v>0</v>
      </c>
    </row>
    <row r="142" spans="2:27" x14ac:dyDescent="0.25">
      <c r="B142" s="5">
        <f>SUMIF(Jan!$G$2:$G$1000,'2024 Summary'!A142,Jan!$H$2:$H$1000)</f>
        <v>0</v>
      </c>
      <c r="C142" s="5">
        <f>SUMIF(Feb!$G$2:$G$1000,'2024 Summary'!A142,Feb!$H$2:$H$1000)</f>
        <v>0</v>
      </c>
      <c r="D142" s="5">
        <f>SUMIF(Mar!$G$2:$G$1000,'2024 Summary'!A142,Mar!$H$2:$H$1000)</f>
        <v>0</v>
      </c>
      <c r="E142" s="5">
        <f>SUMIF(Apr!$G$2:$G$1000,'2024 Summary'!A142,Apr!$H$2:$H$1000)</f>
        <v>0</v>
      </c>
      <c r="F142" s="5">
        <f>SUMIF(May!$G$2:$G$1000,'2024 Summary'!A142,May!$H$2:$H$1000)</f>
        <v>0</v>
      </c>
      <c r="G142" s="5">
        <f>SUMIF(Jun!$G$2:$G$1000,'2024 Summary'!A142,Jun!$H$2:$H$1000)</f>
        <v>0</v>
      </c>
      <c r="H142" s="5">
        <f>SUMIF(Jul!$G$2:$G$1000,'2024 Summary'!A142,Jul!$H$2:$H$1000)</f>
        <v>0</v>
      </c>
      <c r="I142" s="5">
        <f>SUMIF(Aug!$G$2:$G$1000,'2024 Summary'!A142,Aug!$H$2:$H$1000)</f>
        <v>0</v>
      </c>
      <c r="J142" s="5">
        <f>SUMIF(Sep!$G$2:$G$1000,'2024 Summary'!A142,Sep!$H$2:$H$1000)</f>
        <v>0</v>
      </c>
      <c r="K142" s="5">
        <f>SUMIF(Oct!$G$2:$G$1000,'2024 Summary'!A142,Oct!$H$2:$H$1000)</f>
        <v>0</v>
      </c>
      <c r="L142" s="5">
        <f>SUMIF(Nov!$G$2:$G$1000,'2024 Summary'!A142,Nov!$H$2:$H$1000)</f>
        <v>0</v>
      </c>
      <c r="M142" s="5">
        <f>SUMIF(Dec!$G$2:$G$1000,'2024 Summary'!A142,Dec!$H$2:$H$1000)</f>
        <v>0</v>
      </c>
      <c r="AA142" s="13">
        <f>Feb!G44</f>
        <v>0</v>
      </c>
    </row>
    <row r="143" spans="2:27" x14ac:dyDescent="0.25">
      <c r="B143" s="5">
        <f>SUMIF(Jan!$G$2:$G$1000,'2024 Summary'!A143,Jan!$H$2:$H$1000)</f>
        <v>0</v>
      </c>
      <c r="C143" s="5">
        <f>SUMIF(Feb!$G$2:$G$1000,'2024 Summary'!A143,Feb!$H$2:$H$1000)</f>
        <v>0</v>
      </c>
      <c r="D143" s="5">
        <f>SUMIF(Mar!$G$2:$G$1000,'2024 Summary'!A143,Mar!$H$2:$H$1000)</f>
        <v>0</v>
      </c>
      <c r="E143" s="5">
        <f>SUMIF(Apr!$G$2:$G$1000,'2024 Summary'!A143,Apr!$H$2:$H$1000)</f>
        <v>0</v>
      </c>
      <c r="F143" s="5">
        <f>SUMIF(May!$G$2:$G$1000,'2024 Summary'!A143,May!$H$2:$H$1000)</f>
        <v>0</v>
      </c>
      <c r="G143" s="5">
        <f>SUMIF(Jun!$G$2:$G$1000,'2024 Summary'!A143,Jun!$H$2:$H$1000)</f>
        <v>0</v>
      </c>
      <c r="H143" s="5">
        <f>SUMIF(Jul!$G$2:$G$1000,'2024 Summary'!A143,Jul!$H$2:$H$1000)</f>
        <v>0</v>
      </c>
      <c r="I143" s="5">
        <f>SUMIF(Aug!$G$2:$G$1000,'2024 Summary'!A143,Aug!$H$2:$H$1000)</f>
        <v>0</v>
      </c>
      <c r="J143" s="5">
        <f>SUMIF(Sep!$G$2:$G$1000,'2024 Summary'!A143,Sep!$H$2:$H$1000)</f>
        <v>0</v>
      </c>
      <c r="K143" s="5">
        <f>SUMIF(Oct!$G$2:$G$1000,'2024 Summary'!A143,Oct!$H$2:$H$1000)</f>
        <v>0</v>
      </c>
      <c r="L143" s="5">
        <f>SUMIF(Nov!$G$2:$G$1000,'2024 Summary'!A143,Nov!$H$2:$H$1000)</f>
        <v>0</v>
      </c>
      <c r="M143" s="5">
        <f>SUMIF(Dec!$G$2:$G$1000,'2024 Summary'!A143,Dec!$H$2:$H$1000)</f>
        <v>0</v>
      </c>
      <c r="AA143" s="13">
        <f>Feb!G45</f>
        <v>0</v>
      </c>
    </row>
    <row r="144" spans="2:27" x14ac:dyDescent="0.25">
      <c r="B144" s="5">
        <f>SUMIF(Jan!$G$2:$G$1000,'2024 Summary'!A144,Jan!$H$2:$H$1000)</f>
        <v>0</v>
      </c>
      <c r="C144" s="5">
        <f>SUMIF(Feb!$G$2:$G$1000,'2024 Summary'!A144,Feb!$H$2:$H$1000)</f>
        <v>0</v>
      </c>
      <c r="D144" s="5">
        <f>SUMIF(Mar!$G$2:$G$1000,'2024 Summary'!A144,Mar!$H$2:$H$1000)</f>
        <v>0</v>
      </c>
      <c r="E144" s="5">
        <f>SUMIF(Apr!$G$2:$G$1000,'2024 Summary'!A144,Apr!$H$2:$H$1000)</f>
        <v>0</v>
      </c>
      <c r="F144" s="5">
        <f>SUMIF(May!$G$2:$G$1000,'2024 Summary'!A144,May!$H$2:$H$1000)</f>
        <v>0</v>
      </c>
      <c r="G144" s="5">
        <f>SUMIF(Jun!$G$2:$G$1000,'2024 Summary'!A144,Jun!$H$2:$H$1000)</f>
        <v>0</v>
      </c>
      <c r="H144" s="5">
        <f>SUMIF(Jul!$G$2:$G$1000,'2024 Summary'!A144,Jul!$H$2:$H$1000)</f>
        <v>0</v>
      </c>
      <c r="I144" s="5">
        <f>SUMIF(Aug!$G$2:$G$1000,'2024 Summary'!A144,Aug!$H$2:$H$1000)</f>
        <v>0</v>
      </c>
      <c r="J144" s="5">
        <f>SUMIF(Sep!$G$2:$G$1000,'2024 Summary'!A144,Sep!$H$2:$H$1000)</f>
        <v>0</v>
      </c>
      <c r="K144" s="5">
        <f>SUMIF(Oct!$G$2:$G$1000,'2024 Summary'!A144,Oct!$H$2:$H$1000)</f>
        <v>0</v>
      </c>
      <c r="L144" s="5">
        <f>SUMIF(Nov!$G$2:$G$1000,'2024 Summary'!A144,Nov!$H$2:$H$1000)</f>
        <v>0</v>
      </c>
      <c r="M144" s="5">
        <f>SUMIF(Dec!$G$2:$G$1000,'2024 Summary'!A144,Dec!$H$2:$H$1000)</f>
        <v>0</v>
      </c>
      <c r="AA144" s="13">
        <f>Feb!G46</f>
        <v>0</v>
      </c>
    </row>
    <row r="145" spans="2:27" x14ac:dyDescent="0.25">
      <c r="B145" s="5">
        <f>SUMIF(Jan!$G$2:$G$1000,'2024 Summary'!A145,Jan!$H$2:$H$1000)</f>
        <v>0</v>
      </c>
      <c r="C145" s="5">
        <f>SUMIF(Feb!$G$2:$G$1000,'2024 Summary'!A145,Feb!$H$2:$H$1000)</f>
        <v>0</v>
      </c>
      <c r="D145" s="5">
        <f>SUMIF(Mar!$G$2:$G$1000,'2024 Summary'!A145,Mar!$H$2:$H$1000)</f>
        <v>0</v>
      </c>
      <c r="E145" s="5">
        <f>SUMIF(Apr!$G$2:$G$1000,'2024 Summary'!A145,Apr!$H$2:$H$1000)</f>
        <v>0</v>
      </c>
      <c r="F145" s="5">
        <f>SUMIF(May!$G$2:$G$1000,'2024 Summary'!A145,May!$H$2:$H$1000)</f>
        <v>0</v>
      </c>
      <c r="G145" s="5">
        <f>SUMIF(Jun!$G$2:$G$1000,'2024 Summary'!A145,Jun!$H$2:$H$1000)</f>
        <v>0</v>
      </c>
      <c r="H145" s="5">
        <f>SUMIF(Jul!$G$2:$G$1000,'2024 Summary'!A145,Jul!$H$2:$H$1000)</f>
        <v>0</v>
      </c>
      <c r="I145" s="5">
        <f>SUMIF(Aug!$G$2:$G$1000,'2024 Summary'!A145,Aug!$H$2:$H$1000)</f>
        <v>0</v>
      </c>
      <c r="J145" s="5">
        <f>SUMIF(Sep!$G$2:$G$1000,'2024 Summary'!A145,Sep!$H$2:$H$1000)</f>
        <v>0</v>
      </c>
      <c r="K145" s="5">
        <f>SUMIF(Oct!$G$2:$G$1000,'2024 Summary'!A145,Oct!$H$2:$H$1000)</f>
        <v>0</v>
      </c>
      <c r="L145" s="5">
        <f>SUMIF(Nov!$G$2:$G$1000,'2024 Summary'!A145,Nov!$H$2:$H$1000)</f>
        <v>0</v>
      </c>
      <c r="M145" s="5">
        <f>SUMIF(Dec!$G$2:$G$1000,'2024 Summary'!A145,Dec!$H$2:$H$1000)</f>
        <v>0</v>
      </c>
      <c r="AA145" s="13">
        <f>Feb!G47</f>
        <v>0</v>
      </c>
    </row>
    <row r="146" spans="2:27" x14ac:dyDescent="0.25">
      <c r="B146" s="5">
        <f>SUMIF(Jan!$G$2:$G$1000,'2024 Summary'!A146,Jan!$H$2:$H$1000)</f>
        <v>0</v>
      </c>
      <c r="C146" s="5">
        <f>SUMIF(Feb!$G$2:$G$1000,'2024 Summary'!A146,Feb!$H$2:$H$1000)</f>
        <v>0</v>
      </c>
      <c r="D146" s="5">
        <f>SUMIF(Mar!$G$2:$G$1000,'2024 Summary'!A146,Mar!$H$2:$H$1000)</f>
        <v>0</v>
      </c>
      <c r="E146" s="5">
        <f>SUMIF(Apr!$G$2:$G$1000,'2024 Summary'!A146,Apr!$H$2:$H$1000)</f>
        <v>0</v>
      </c>
      <c r="F146" s="5">
        <f>SUMIF(May!$G$2:$G$1000,'2024 Summary'!A146,May!$H$2:$H$1000)</f>
        <v>0</v>
      </c>
      <c r="G146" s="5">
        <f>SUMIF(Jun!$G$2:$G$1000,'2024 Summary'!A146,Jun!$H$2:$H$1000)</f>
        <v>0</v>
      </c>
      <c r="H146" s="5">
        <f>SUMIF(Jul!$G$2:$G$1000,'2024 Summary'!A146,Jul!$H$2:$H$1000)</f>
        <v>0</v>
      </c>
      <c r="I146" s="5">
        <f>SUMIF(Aug!$G$2:$G$1000,'2024 Summary'!A146,Aug!$H$2:$H$1000)</f>
        <v>0</v>
      </c>
      <c r="J146" s="5">
        <f>SUMIF(Sep!$G$2:$G$1000,'2024 Summary'!A146,Sep!$H$2:$H$1000)</f>
        <v>0</v>
      </c>
      <c r="K146" s="5">
        <f>SUMIF(Oct!$G$2:$G$1000,'2024 Summary'!A146,Oct!$H$2:$H$1000)</f>
        <v>0</v>
      </c>
      <c r="L146" s="5">
        <f>SUMIF(Nov!$G$2:$G$1000,'2024 Summary'!A146,Nov!$H$2:$H$1000)</f>
        <v>0</v>
      </c>
      <c r="M146" s="5">
        <f>SUMIF(Dec!$G$2:$G$1000,'2024 Summary'!A146,Dec!$H$2:$H$1000)</f>
        <v>0</v>
      </c>
      <c r="AA146" s="13">
        <f>Feb!G48</f>
        <v>0</v>
      </c>
    </row>
    <row r="147" spans="2:27" x14ac:dyDescent="0.25">
      <c r="B147" s="5">
        <f>SUMIF(Jan!$G$2:$G$1000,'2024 Summary'!A147,Jan!$H$2:$H$1000)</f>
        <v>0</v>
      </c>
      <c r="C147" s="5">
        <f>SUMIF(Feb!$G$2:$G$1000,'2024 Summary'!A147,Feb!$H$2:$H$1000)</f>
        <v>0</v>
      </c>
      <c r="D147" s="5">
        <f>SUMIF(Mar!$G$2:$G$1000,'2024 Summary'!A147,Mar!$H$2:$H$1000)</f>
        <v>0</v>
      </c>
      <c r="E147" s="5">
        <f>SUMIF(Apr!$G$2:$G$1000,'2024 Summary'!A147,Apr!$H$2:$H$1000)</f>
        <v>0</v>
      </c>
      <c r="F147" s="5">
        <f>SUMIF(May!$G$2:$G$1000,'2024 Summary'!A147,May!$H$2:$H$1000)</f>
        <v>0</v>
      </c>
      <c r="G147" s="5">
        <f>SUMIF(Jun!$G$2:$G$1000,'2024 Summary'!A147,Jun!$H$2:$H$1000)</f>
        <v>0</v>
      </c>
      <c r="H147" s="5">
        <f>SUMIF(Jul!$G$2:$G$1000,'2024 Summary'!A147,Jul!$H$2:$H$1000)</f>
        <v>0</v>
      </c>
      <c r="I147" s="5">
        <f>SUMIF(Aug!$G$2:$G$1000,'2024 Summary'!A147,Aug!$H$2:$H$1000)</f>
        <v>0</v>
      </c>
      <c r="J147" s="5">
        <f>SUMIF(Sep!$G$2:$G$1000,'2024 Summary'!A147,Sep!$H$2:$H$1000)</f>
        <v>0</v>
      </c>
      <c r="K147" s="5">
        <f>SUMIF(Oct!$G$2:$G$1000,'2024 Summary'!A147,Oct!$H$2:$H$1000)</f>
        <v>0</v>
      </c>
      <c r="L147" s="5">
        <f>SUMIF(Nov!$G$2:$G$1000,'2024 Summary'!A147,Nov!$H$2:$H$1000)</f>
        <v>0</v>
      </c>
      <c r="M147" s="5">
        <f>SUMIF(Dec!$G$2:$G$1000,'2024 Summary'!A147,Dec!$H$2:$H$1000)</f>
        <v>0</v>
      </c>
      <c r="AA147" s="13">
        <f>Feb!G49</f>
        <v>0</v>
      </c>
    </row>
    <row r="148" spans="2:27" x14ac:dyDescent="0.25">
      <c r="B148" s="5">
        <f>SUMIF(Jan!$G$2:$G$1000,'2024 Summary'!A148,Jan!$H$2:$H$1000)</f>
        <v>0</v>
      </c>
      <c r="C148" s="5">
        <f>SUMIF(Feb!$G$2:$G$1000,'2024 Summary'!A148,Feb!$H$2:$H$1000)</f>
        <v>0</v>
      </c>
      <c r="D148" s="5">
        <f>SUMIF(Mar!$G$2:$G$1000,'2024 Summary'!A148,Mar!$H$2:$H$1000)</f>
        <v>0</v>
      </c>
      <c r="E148" s="5">
        <f>SUMIF(Apr!$G$2:$G$1000,'2024 Summary'!A148,Apr!$H$2:$H$1000)</f>
        <v>0</v>
      </c>
      <c r="F148" s="5">
        <f>SUMIF(May!$G$2:$G$1000,'2024 Summary'!A148,May!$H$2:$H$1000)</f>
        <v>0</v>
      </c>
      <c r="G148" s="5">
        <f>SUMIF(Jun!$G$2:$G$1000,'2024 Summary'!A148,Jun!$H$2:$H$1000)</f>
        <v>0</v>
      </c>
      <c r="H148" s="5">
        <f>SUMIF(Jul!$G$2:$G$1000,'2024 Summary'!A148,Jul!$H$2:$H$1000)</f>
        <v>0</v>
      </c>
      <c r="I148" s="5">
        <f>SUMIF(Aug!$G$2:$G$1000,'2024 Summary'!A148,Aug!$H$2:$H$1000)</f>
        <v>0</v>
      </c>
      <c r="J148" s="5">
        <f>SUMIF(Sep!$G$2:$G$1000,'2024 Summary'!A148,Sep!$H$2:$H$1000)</f>
        <v>0</v>
      </c>
      <c r="K148" s="5">
        <f>SUMIF(Oct!$G$2:$G$1000,'2024 Summary'!A148,Oct!$H$2:$H$1000)</f>
        <v>0</v>
      </c>
      <c r="L148" s="5">
        <f>SUMIF(Nov!$G$2:$G$1000,'2024 Summary'!A148,Nov!$H$2:$H$1000)</f>
        <v>0</v>
      </c>
      <c r="M148" s="5">
        <f>SUMIF(Dec!$G$2:$G$1000,'2024 Summary'!A148,Dec!$H$2:$H$1000)</f>
        <v>0</v>
      </c>
      <c r="AA148" s="13">
        <f>Feb!G50</f>
        <v>0</v>
      </c>
    </row>
    <row r="149" spans="2:27" x14ac:dyDescent="0.25">
      <c r="B149" s="5">
        <f>SUMIF(Jan!$G$2:$G$1000,'2024 Summary'!A149,Jan!$H$2:$H$1000)</f>
        <v>0</v>
      </c>
      <c r="C149" s="5">
        <f>SUMIF(Feb!$G$2:$G$1000,'2024 Summary'!A149,Feb!$H$2:$H$1000)</f>
        <v>0</v>
      </c>
      <c r="D149" s="5">
        <f>SUMIF(Mar!$G$2:$G$1000,'2024 Summary'!A149,Mar!$H$2:$H$1000)</f>
        <v>0</v>
      </c>
      <c r="E149" s="5">
        <f>SUMIF(Apr!$G$2:$G$1000,'2024 Summary'!A149,Apr!$H$2:$H$1000)</f>
        <v>0</v>
      </c>
      <c r="F149" s="5">
        <f>SUMIF(May!$G$2:$G$1000,'2024 Summary'!A149,May!$H$2:$H$1000)</f>
        <v>0</v>
      </c>
      <c r="G149" s="5">
        <f>SUMIF(Jun!$G$2:$G$1000,'2024 Summary'!A149,Jun!$H$2:$H$1000)</f>
        <v>0</v>
      </c>
      <c r="H149" s="5">
        <f>SUMIF(Jul!$G$2:$G$1000,'2024 Summary'!A149,Jul!$H$2:$H$1000)</f>
        <v>0</v>
      </c>
      <c r="I149" s="5">
        <f>SUMIF(Aug!$G$2:$G$1000,'2024 Summary'!A149,Aug!$H$2:$H$1000)</f>
        <v>0</v>
      </c>
      <c r="J149" s="5">
        <f>SUMIF(Sep!$G$2:$G$1000,'2024 Summary'!A149,Sep!$H$2:$H$1000)</f>
        <v>0</v>
      </c>
      <c r="K149" s="5">
        <f>SUMIF(Oct!$G$2:$G$1000,'2024 Summary'!A149,Oct!$H$2:$H$1000)</f>
        <v>0</v>
      </c>
      <c r="L149" s="5">
        <f>SUMIF(Nov!$G$2:$G$1000,'2024 Summary'!A149,Nov!$H$2:$H$1000)</f>
        <v>0</v>
      </c>
      <c r="M149" s="5">
        <f>SUMIF(Dec!$G$2:$G$1000,'2024 Summary'!A149,Dec!$H$2:$H$1000)</f>
        <v>0</v>
      </c>
      <c r="AA149" s="13">
        <f>Feb!G51</f>
        <v>0</v>
      </c>
    </row>
    <row r="150" spans="2:27" x14ac:dyDescent="0.25">
      <c r="B150" s="5">
        <f>SUMIF(Jan!$G$2:$G$1000,'2024 Summary'!A150,Jan!$H$2:$H$1000)</f>
        <v>0</v>
      </c>
      <c r="C150" s="5">
        <f>SUMIF(Feb!$G$2:$G$1000,'2024 Summary'!A150,Feb!$H$2:$H$1000)</f>
        <v>0</v>
      </c>
      <c r="D150" s="5">
        <f>SUMIF(Mar!$G$2:$G$1000,'2024 Summary'!A150,Mar!$H$2:$H$1000)</f>
        <v>0</v>
      </c>
      <c r="E150" s="5">
        <f>SUMIF(Apr!$G$2:$G$1000,'2024 Summary'!A150,Apr!$H$2:$H$1000)</f>
        <v>0</v>
      </c>
      <c r="F150" s="5">
        <f>SUMIF(May!$G$2:$G$1000,'2024 Summary'!A150,May!$H$2:$H$1000)</f>
        <v>0</v>
      </c>
      <c r="G150" s="5">
        <f>SUMIF(Jun!$G$2:$G$1000,'2024 Summary'!A150,Jun!$H$2:$H$1000)</f>
        <v>0</v>
      </c>
      <c r="H150" s="5">
        <f>SUMIF(Jul!$G$2:$G$1000,'2024 Summary'!A150,Jul!$H$2:$H$1000)</f>
        <v>0</v>
      </c>
      <c r="I150" s="5">
        <f>SUMIF(Aug!$G$2:$G$1000,'2024 Summary'!A150,Aug!$H$2:$H$1000)</f>
        <v>0</v>
      </c>
      <c r="J150" s="5">
        <f>SUMIF(Sep!$G$2:$G$1000,'2024 Summary'!A150,Sep!$H$2:$H$1000)</f>
        <v>0</v>
      </c>
      <c r="K150" s="5">
        <f>SUMIF(Oct!$G$2:$G$1000,'2024 Summary'!A150,Oct!$H$2:$H$1000)</f>
        <v>0</v>
      </c>
      <c r="L150" s="5">
        <f>SUMIF(Nov!$G$2:$G$1000,'2024 Summary'!A150,Nov!$H$2:$H$1000)</f>
        <v>0</v>
      </c>
      <c r="M150" s="5">
        <f>SUMIF(Dec!$G$2:$G$1000,'2024 Summary'!A150,Dec!$H$2:$H$1000)</f>
        <v>0</v>
      </c>
      <c r="AA150" s="13">
        <f>Feb!G52</f>
        <v>0</v>
      </c>
    </row>
    <row r="151" spans="2:27" x14ac:dyDescent="0.25">
      <c r="B151" s="5">
        <f>SUMIF(Jan!$G$2:$G$1000,'2024 Summary'!A151,Jan!$H$2:$H$1000)</f>
        <v>0</v>
      </c>
      <c r="C151" s="5">
        <f>SUMIF(Feb!$G$2:$G$1000,'2024 Summary'!A151,Feb!$H$2:$H$1000)</f>
        <v>0</v>
      </c>
      <c r="D151" s="5">
        <f>SUMIF(Mar!$G$2:$G$1000,'2024 Summary'!A151,Mar!$H$2:$H$1000)</f>
        <v>0</v>
      </c>
      <c r="E151" s="5">
        <f>SUMIF(Apr!$G$2:$G$1000,'2024 Summary'!A151,Apr!$H$2:$H$1000)</f>
        <v>0</v>
      </c>
      <c r="F151" s="5">
        <f>SUMIF(May!$G$2:$G$1000,'2024 Summary'!A151,May!$H$2:$H$1000)</f>
        <v>0</v>
      </c>
      <c r="G151" s="5">
        <f>SUMIF(Jun!$G$2:$G$1000,'2024 Summary'!A151,Jun!$H$2:$H$1000)</f>
        <v>0</v>
      </c>
      <c r="H151" s="5">
        <f>SUMIF(Jul!$G$2:$G$1000,'2024 Summary'!A151,Jul!$H$2:$H$1000)</f>
        <v>0</v>
      </c>
      <c r="I151" s="5">
        <f>SUMIF(Aug!$G$2:$G$1000,'2024 Summary'!A151,Aug!$H$2:$H$1000)</f>
        <v>0</v>
      </c>
      <c r="J151" s="5">
        <f>SUMIF(Sep!$G$2:$G$1000,'2024 Summary'!A151,Sep!$H$2:$H$1000)</f>
        <v>0</v>
      </c>
      <c r="K151" s="5">
        <f>SUMIF(Oct!$G$2:$G$1000,'2024 Summary'!A151,Oct!$H$2:$H$1000)</f>
        <v>0</v>
      </c>
      <c r="L151" s="5">
        <f>SUMIF(Nov!$G$2:$G$1000,'2024 Summary'!A151,Nov!$H$2:$H$1000)</f>
        <v>0</v>
      </c>
      <c r="M151" s="5">
        <f>SUMIF(Dec!$G$2:$G$1000,'2024 Summary'!A151,Dec!$H$2:$H$1000)</f>
        <v>0</v>
      </c>
      <c r="AA151" s="13">
        <f>Feb!G53</f>
        <v>0</v>
      </c>
    </row>
    <row r="152" spans="2:27" x14ac:dyDescent="0.25">
      <c r="B152" s="5">
        <f>SUMIF(Jan!$G$2:$G$1000,'2024 Summary'!A152,Jan!$H$2:$H$1000)</f>
        <v>0</v>
      </c>
      <c r="C152" s="5">
        <f>SUMIF(Feb!$G$2:$G$1000,'2024 Summary'!A152,Feb!$H$2:$H$1000)</f>
        <v>0</v>
      </c>
      <c r="D152" s="5">
        <f>SUMIF(Mar!$G$2:$G$1000,'2024 Summary'!A152,Mar!$H$2:$H$1000)</f>
        <v>0</v>
      </c>
      <c r="E152" s="5">
        <f>SUMIF(Apr!$G$2:$G$1000,'2024 Summary'!A152,Apr!$H$2:$H$1000)</f>
        <v>0</v>
      </c>
      <c r="F152" s="5">
        <f>SUMIF(May!$G$2:$G$1000,'2024 Summary'!A152,May!$H$2:$H$1000)</f>
        <v>0</v>
      </c>
      <c r="G152" s="5">
        <f>SUMIF(Jun!$G$2:$G$1000,'2024 Summary'!A152,Jun!$H$2:$H$1000)</f>
        <v>0</v>
      </c>
      <c r="H152" s="5">
        <f>SUMIF(Jul!$G$2:$G$1000,'2024 Summary'!A152,Jul!$H$2:$H$1000)</f>
        <v>0</v>
      </c>
      <c r="I152" s="5">
        <f>SUMIF(Aug!$G$2:$G$1000,'2024 Summary'!A152,Aug!$H$2:$H$1000)</f>
        <v>0</v>
      </c>
      <c r="J152" s="5">
        <f>SUMIF(Sep!$G$2:$G$1000,'2024 Summary'!A152,Sep!$H$2:$H$1000)</f>
        <v>0</v>
      </c>
      <c r="K152" s="5">
        <f>SUMIF(Oct!$G$2:$G$1000,'2024 Summary'!A152,Oct!$H$2:$H$1000)</f>
        <v>0</v>
      </c>
      <c r="L152" s="5">
        <f>SUMIF(Nov!$G$2:$G$1000,'2024 Summary'!A152,Nov!$H$2:$H$1000)</f>
        <v>0</v>
      </c>
      <c r="M152" s="5">
        <f>SUMIF(Dec!$G$2:$G$1000,'2024 Summary'!A152,Dec!$H$2:$H$1000)</f>
        <v>0</v>
      </c>
      <c r="AA152" s="13">
        <f>Feb!G54</f>
        <v>0</v>
      </c>
    </row>
    <row r="153" spans="2:27" x14ac:dyDescent="0.25">
      <c r="B153" s="5">
        <f>SUMIF(Jan!$G$2:$G$1000,'2024 Summary'!A153,Jan!$H$2:$H$1000)</f>
        <v>0</v>
      </c>
      <c r="C153" s="5">
        <f>SUMIF(Feb!$G$2:$G$1000,'2024 Summary'!A153,Feb!$H$2:$H$1000)</f>
        <v>0</v>
      </c>
      <c r="D153" s="5">
        <f>SUMIF(Mar!$G$2:$G$1000,'2024 Summary'!A153,Mar!$H$2:$H$1000)</f>
        <v>0</v>
      </c>
      <c r="E153" s="5">
        <f>SUMIF(Apr!$G$2:$G$1000,'2024 Summary'!A153,Apr!$H$2:$H$1000)</f>
        <v>0</v>
      </c>
      <c r="F153" s="5">
        <f>SUMIF(May!$G$2:$G$1000,'2024 Summary'!A153,May!$H$2:$H$1000)</f>
        <v>0</v>
      </c>
      <c r="G153" s="5">
        <f>SUMIF(Jun!$G$2:$G$1000,'2024 Summary'!A153,Jun!$H$2:$H$1000)</f>
        <v>0</v>
      </c>
      <c r="H153" s="5">
        <f>SUMIF(Jul!$G$2:$G$1000,'2024 Summary'!A153,Jul!$H$2:$H$1000)</f>
        <v>0</v>
      </c>
      <c r="I153" s="5">
        <f>SUMIF(Aug!$G$2:$G$1000,'2024 Summary'!A153,Aug!$H$2:$H$1000)</f>
        <v>0</v>
      </c>
      <c r="J153" s="5">
        <f>SUMIF(Sep!$G$2:$G$1000,'2024 Summary'!A153,Sep!$H$2:$H$1000)</f>
        <v>0</v>
      </c>
      <c r="K153" s="5">
        <f>SUMIF(Oct!$G$2:$G$1000,'2024 Summary'!A153,Oct!$H$2:$H$1000)</f>
        <v>0</v>
      </c>
      <c r="L153" s="5">
        <f>SUMIF(Nov!$G$2:$G$1000,'2024 Summary'!A153,Nov!$H$2:$H$1000)</f>
        <v>0</v>
      </c>
      <c r="M153" s="5">
        <f>SUMIF(Dec!$G$2:$G$1000,'2024 Summary'!A153,Dec!$H$2:$H$1000)</f>
        <v>0</v>
      </c>
      <c r="AA153" s="13">
        <f>Feb!G55</f>
        <v>0</v>
      </c>
    </row>
    <row r="154" spans="2:27" x14ac:dyDescent="0.25">
      <c r="B154" s="5">
        <f>SUMIF(Jan!$G$2:$G$1000,'2024 Summary'!A154,Jan!$H$2:$H$1000)</f>
        <v>0</v>
      </c>
      <c r="C154" s="5">
        <f>SUMIF(Feb!$G$2:$G$1000,'2024 Summary'!A154,Feb!$H$2:$H$1000)</f>
        <v>0</v>
      </c>
      <c r="D154" s="5">
        <f>SUMIF(Mar!$G$2:$G$1000,'2024 Summary'!A154,Mar!$H$2:$H$1000)</f>
        <v>0</v>
      </c>
      <c r="E154" s="5">
        <f>SUMIF(Apr!$G$2:$G$1000,'2024 Summary'!A154,Apr!$H$2:$H$1000)</f>
        <v>0</v>
      </c>
      <c r="F154" s="5">
        <f>SUMIF(May!$G$2:$G$1000,'2024 Summary'!A154,May!$H$2:$H$1000)</f>
        <v>0</v>
      </c>
      <c r="G154" s="5">
        <f>SUMIF(Jun!$G$2:$G$1000,'2024 Summary'!A154,Jun!$H$2:$H$1000)</f>
        <v>0</v>
      </c>
      <c r="H154" s="5">
        <f>SUMIF(Jul!$G$2:$G$1000,'2024 Summary'!A154,Jul!$H$2:$H$1000)</f>
        <v>0</v>
      </c>
      <c r="I154" s="5">
        <f>SUMIF(Aug!$G$2:$G$1000,'2024 Summary'!A154,Aug!$H$2:$H$1000)</f>
        <v>0</v>
      </c>
      <c r="J154" s="5">
        <f>SUMIF(Sep!$G$2:$G$1000,'2024 Summary'!A154,Sep!$H$2:$H$1000)</f>
        <v>0</v>
      </c>
      <c r="K154" s="5">
        <f>SUMIF(Oct!$G$2:$G$1000,'2024 Summary'!A154,Oct!$H$2:$H$1000)</f>
        <v>0</v>
      </c>
      <c r="L154" s="5">
        <f>SUMIF(Nov!$G$2:$G$1000,'2024 Summary'!A154,Nov!$H$2:$H$1000)</f>
        <v>0</v>
      </c>
      <c r="M154" s="5">
        <f>SUMIF(Dec!$G$2:$G$1000,'2024 Summary'!A154,Dec!$H$2:$H$1000)</f>
        <v>0</v>
      </c>
      <c r="AA154" s="13">
        <f>Feb!G56</f>
        <v>0</v>
      </c>
    </row>
    <row r="155" spans="2:27" x14ac:dyDescent="0.25">
      <c r="B155" s="5">
        <f>SUMIF(Jan!$G$2:$G$1000,'2024 Summary'!A155,Jan!$H$2:$H$1000)</f>
        <v>0</v>
      </c>
      <c r="C155" s="5">
        <f>SUMIF(Feb!$G$2:$G$1000,'2024 Summary'!A155,Feb!$H$2:$H$1000)</f>
        <v>0</v>
      </c>
      <c r="D155" s="5">
        <f>SUMIF(Mar!$G$2:$G$1000,'2024 Summary'!A155,Mar!$H$2:$H$1000)</f>
        <v>0</v>
      </c>
      <c r="E155" s="5">
        <f>SUMIF(Apr!$G$2:$G$1000,'2024 Summary'!A155,Apr!$H$2:$H$1000)</f>
        <v>0</v>
      </c>
      <c r="F155" s="5">
        <f>SUMIF(May!$G$2:$G$1000,'2024 Summary'!A155,May!$H$2:$H$1000)</f>
        <v>0</v>
      </c>
      <c r="G155" s="5">
        <f>SUMIF(Jun!$G$2:$G$1000,'2024 Summary'!A155,Jun!$H$2:$H$1000)</f>
        <v>0</v>
      </c>
      <c r="H155" s="5">
        <f>SUMIF(Jul!$G$2:$G$1000,'2024 Summary'!A155,Jul!$H$2:$H$1000)</f>
        <v>0</v>
      </c>
      <c r="I155" s="5">
        <f>SUMIF(Aug!$G$2:$G$1000,'2024 Summary'!A155,Aug!$H$2:$H$1000)</f>
        <v>0</v>
      </c>
      <c r="J155" s="5">
        <f>SUMIF(Sep!$G$2:$G$1000,'2024 Summary'!A155,Sep!$H$2:$H$1000)</f>
        <v>0</v>
      </c>
      <c r="K155" s="5">
        <f>SUMIF(Oct!$G$2:$G$1000,'2024 Summary'!A155,Oct!$H$2:$H$1000)</f>
        <v>0</v>
      </c>
      <c r="L155" s="5">
        <f>SUMIF(Nov!$G$2:$G$1000,'2024 Summary'!A155,Nov!$H$2:$H$1000)</f>
        <v>0</v>
      </c>
      <c r="M155" s="5">
        <f>SUMIF(Dec!$G$2:$G$1000,'2024 Summary'!A155,Dec!$H$2:$H$1000)</f>
        <v>0</v>
      </c>
      <c r="AA155" s="13">
        <f>Feb!G57</f>
        <v>0</v>
      </c>
    </row>
    <row r="156" spans="2:27" x14ac:dyDescent="0.25">
      <c r="B156" s="5">
        <f>SUMIF(Jan!$G$2:$G$1000,'2024 Summary'!A156,Jan!$H$2:$H$1000)</f>
        <v>0</v>
      </c>
      <c r="C156" s="5">
        <f>SUMIF(Feb!$G$2:$G$1000,'2024 Summary'!A156,Feb!$H$2:$H$1000)</f>
        <v>0</v>
      </c>
      <c r="D156" s="5">
        <f>SUMIF(Mar!$G$2:$G$1000,'2024 Summary'!A156,Mar!$H$2:$H$1000)</f>
        <v>0</v>
      </c>
      <c r="E156" s="5">
        <f>SUMIF(Apr!$G$2:$G$1000,'2024 Summary'!A156,Apr!$H$2:$H$1000)</f>
        <v>0</v>
      </c>
      <c r="F156" s="5">
        <f>SUMIF(May!$G$2:$G$1000,'2024 Summary'!A156,May!$H$2:$H$1000)</f>
        <v>0</v>
      </c>
      <c r="G156" s="5">
        <f>SUMIF(Jun!$G$2:$G$1000,'2024 Summary'!A156,Jun!$H$2:$H$1000)</f>
        <v>0</v>
      </c>
      <c r="H156" s="5">
        <f>SUMIF(Jul!$G$2:$G$1000,'2024 Summary'!A156,Jul!$H$2:$H$1000)</f>
        <v>0</v>
      </c>
      <c r="I156" s="5">
        <f>SUMIF(Aug!$G$2:$G$1000,'2024 Summary'!A156,Aug!$H$2:$H$1000)</f>
        <v>0</v>
      </c>
      <c r="J156" s="5">
        <f>SUMIF(Sep!$G$2:$G$1000,'2024 Summary'!A156,Sep!$H$2:$H$1000)</f>
        <v>0</v>
      </c>
      <c r="K156" s="5">
        <f>SUMIF(Oct!$G$2:$G$1000,'2024 Summary'!A156,Oct!$H$2:$H$1000)</f>
        <v>0</v>
      </c>
      <c r="L156" s="5">
        <f>SUMIF(Nov!$G$2:$G$1000,'2024 Summary'!A156,Nov!$H$2:$H$1000)</f>
        <v>0</v>
      </c>
      <c r="M156" s="5">
        <f>SUMIF(Dec!$G$2:$G$1000,'2024 Summary'!A156,Dec!$H$2:$H$1000)</f>
        <v>0</v>
      </c>
      <c r="AA156" s="13">
        <f>Feb!G58</f>
        <v>0</v>
      </c>
    </row>
    <row r="157" spans="2:27" x14ac:dyDescent="0.25">
      <c r="B157" s="5">
        <f>SUMIF(Jan!$G$2:$G$1000,'2024 Summary'!A157,Jan!$H$2:$H$1000)</f>
        <v>0</v>
      </c>
      <c r="C157" s="5">
        <f>SUMIF(Feb!$G$2:$G$1000,'2024 Summary'!A157,Feb!$H$2:$H$1000)</f>
        <v>0</v>
      </c>
      <c r="D157" s="5">
        <f>SUMIF(Mar!$G$2:$G$1000,'2024 Summary'!A157,Mar!$H$2:$H$1000)</f>
        <v>0</v>
      </c>
      <c r="E157" s="5">
        <f>SUMIF(Apr!$G$2:$G$1000,'2024 Summary'!A157,Apr!$H$2:$H$1000)</f>
        <v>0</v>
      </c>
      <c r="F157" s="5">
        <f>SUMIF(May!$G$2:$G$1000,'2024 Summary'!A157,May!$H$2:$H$1000)</f>
        <v>0</v>
      </c>
      <c r="G157" s="5">
        <f>SUMIF(Jun!$G$2:$G$1000,'2024 Summary'!A157,Jun!$H$2:$H$1000)</f>
        <v>0</v>
      </c>
      <c r="H157" s="5">
        <f>SUMIF(Jul!$G$2:$G$1000,'2024 Summary'!A157,Jul!$H$2:$H$1000)</f>
        <v>0</v>
      </c>
      <c r="I157" s="5">
        <f>SUMIF(Aug!$G$2:$G$1000,'2024 Summary'!A157,Aug!$H$2:$H$1000)</f>
        <v>0</v>
      </c>
      <c r="J157" s="5">
        <f>SUMIF(Sep!$G$2:$G$1000,'2024 Summary'!A157,Sep!$H$2:$H$1000)</f>
        <v>0</v>
      </c>
      <c r="K157" s="5">
        <f>SUMIF(Oct!$G$2:$G$1000,'2024 Summary'!A157,Oct!$H$2:$H$1000)</f>
        <v>0</v>
      </c>
      <c r="L157" s="5">
        <f>SUMIF(Nov!$G$2:$G$1000,'2024 Summary'!A157,Nov!$H$2:$H$1000)</f>
        <v>0</v>
      </c>
      <c r="M157" s="5">
        <f>SUMIF(Dec!$G$2:$G$1000,'2024 Summary'!A157,Dec!$H$2:$H$1000)</f>
        <v>0</v>
      </c>
      <c r="AA157" s="13">
        <f>Feb!G59</f>
        <v>0</v>
      </c>
    </row>
    <row r="158" spans="2:27" x14ac:dyDescent="0.25">
      <c r="B158" s="5">
        <f>SUMIF(Jan!$G$2:$G$1000,'2024 Summary'!A158,Jan!$H$2:$H$1000)</f>
        <v>0</v>
      </c>
      <c r="C158" s="5">
        <f>SUMIF(Feb!$G$2:$G$1000,'2024 Summary'!A158,Feb!$H$2:$H$1000)</f>
        <v>0</v>
      </c>
      <c r="D158" s="5">
        <f>SUMIF(Mar!$G$2:$G$1000,'2024 Summary'!A158,Mar!$H$2:$H$1000)</f>
        <v>0</v>
      </c>
      <c r="E158" s="5">
        <f>SUMIF(Apr!$G$2:$G$1000,'2024 Summary'!A158,Apr!$H$2:$H$1000)</f>
        <v>0</v>
      </c>
      <c r="F158" s="5">
        <f>SUMIF(May!$G$2:$G$1000,'2024 Summary'!A158,May!$H$2:$H$1000)</f>
        <v>0</v>
      </c>
      <c r="G158" s="5">
        <f>SUMIF(Jun!$G$2:$G$1000,'2024 Summary'!A158,Jun!$H$2:$H$1000)</f>
        <v>0</v>
      </c>
      <c r="H158" s="5">
        <f>SUMIF(Jul!$G$2:$G$1000,'2024 Summary'!A158,Jul!$H$2:$H$1000)</f>
        <v>0</v>
      </c>
      <c r="I158" s="5">
        <f>SUMIF(Aug!$G$2:$G$1000,'2024 Summary'!A158,Aug!$H$2:$H$1000)</f>
        <v>0</v>
      </c>
      <c r="J158" s="5">
        <f>SUMIF(Sep!$G$2:$G$1000,'2024 Summary'!A158,Sep!$H$2:$H$1000)</f>
        <v>0</v>
      </c>
      <c r="K158" s="5">
        <f>SUMIF(Oct!$G$2:$G$1000,'2024 Summary'!A158,Oct!$H$2:$H$1000)</f>
        <v>0</v>
      </c>
      <c r="L158" s="5">
        <f>SUMIF(Nov!$G$2:$G$1000,'2024 Summary'!A158,Nov!$H$2:$H$1000)</f>
        <v>0</v>
      </c>
      <c r="M158" s="5">
        <f>SUMIF(Dec!$G$2:$G$1000,'2024 Summary'!A158,Dec!$H$2:$H$1000)</f>
        <v>0</v>
      </c>
      <c r="AA158" s="13">
        <f>Feb!G60</f>
        <v>0</v>
      </c>
    </row>
    <row r="159" spans="2:27" x14ac:dyDescent="0.25">
      <c r="B159" s="5">
        <f>SUMIF(Jan!$G$2:$G$1000,'2024 Summary'!A159,Jan!$H$2:$H$1000)</f>
        <v>0</v>
      </c>
      <c r="C159" s="5">
        <f>SUMIF(Feb!$G$2:$G$1000,'2024 Summary'!A159,Feb!$H$2:$H$1000)</f>
        <v>0</v>
      </c>
      <c r="D159" s="5">
        <f>SUMIF(Mar!$G$2:$G$1000,'2024 Summary'!A159,Mar!$H$2:$H$1000)</f>
        <v>0</v>
      </c>
      <c r="E159" s="5">
        <f>SUMIF(Apr!$G$2:$G$1000,'2024 Summary'!A159,Apr!$H$2:$H$1000)</f>
        <v>0</v>
      </c>
      <c r="F159" s="5">
        <f>SUMIF(May!$G$2:$G$1000,'2024 Summary'!A159,May!$H$2:$H$1000)</f>
        <v>0</v>
      </c>
      <c r="G159" s="5">
        <f>SUMIF(Jun!$G$2:$G$1000,'2024 Summary'!A159,Jun!$H$2:$H$1000)</f>
        <v>0</v>
      </c>
      <c r="H159" s="5">
        <f>SUMIF(Jul!$G$2:$G$1000,'2024 Summary'!A159,Jul!$H$2:$H$1000)</f>
        <v>0</v>
      </c>
      <c r="I159" s="5">
        <f>SUMIF(Aug!$G$2:$G$1000,'2024 Summary'!A159,Aug!$H$2:$H$1000)</f>
        <v>0</v>
      </c>
      <c r="J159" s="5">
        <f>SUMIF(Sep!$G$2:$G$1000,'2024 Summary'!A159,Sep!$H$2:$H$1000)</f>
        <v>0</v>
      </c>
      <c r="K159" s="5">
        <f>SUMIF(Oct!$G$2:$G$1000,'2024 Summary'!A159,Oct!$H$2:$H$1000)</f>
        <v>0</v>
      </c>
      <c r="L159" s="5">
        <f>SUMIF(Nov!$G$2:$G$1000,'2024 Summary'!A159,Nov!$H$2:$H$1000)</f>
        <v>0</v>
      </c>
      <c r="M159" s="5">
        <f>SUMIF(Dec!$G$2:$G$1000,'2024 Summary'!A159,Dec!$H$2:$H$1000)</f>
        <v>0</v>
      </c>
      <c r="AA159" s="13">
        <f>Feb!G61</f>
        <v>0</v>
      </c>
    </row>
    <row r="160" spans="2:27" x14ac:dyDescent="0.25">
      <c r="B160" s="5">
        <f>SUMIF(Jan!$G$2:$G$1000,'2024 Summary'!A160,Jan!$H$2:$H$1000)</f>
        <v>0</v>
      </c>
      <c r="C160" s="5">
        <f>SUMIF(Feb!$G$2:$G$1000,'2024 Summary'!A160,Feb!$H$2:$H$1000)</f>
        <v>0</v>
      </c>
      <c r="D160" s="5">
        <f>SUMIF(Mar!$G$2:$G$1000,'2024 Summary'!A160,Mar!$H$2:$H$1000)</f>
        <v>0</v>
      </c>
      <c r="E160" s="5">
        <f>SUMIF(Apr!$G$2:$G$1000,'2024 Summary'!A160,Apr!$H$2:$H$1000)</f>
        <v>0</v>
      </c>
      <c r="F160" s="5">
        <f>SUMIF(May!$G$2:$G$1000,'2024 Summary'!A160,May!$H$2:$H$1000)</f>
        <v>0</v>
      </c>
      <c r="G160" s="5">
        <f>SUMIF(Jun!$G$2:$G$1000,'2024 Summary'!A160,Jun!$H$2:$H$1000)</f>
        <v>0</v>
      </c>
      <c r="H160" s="5">
        <f>SUMIF(Jul!$G$2:$G$1000,'2024 Summary'!A160,Jul!$H$2:$H$1000)</f>
        <v>0</v>
      </c>
      <c r="I160" s="5">
        <f>SUMIF(Aug!$G$2:$G$1000,'2024 Summary'!A160,Aug!$H$2:$H$1000)</f>
        <v>0</v>
      </c>
      <c r="J160" s="5">
        <f>SUMIF(Sep!$G$2:$G$1000,'2024 Summary'!A160,Sep!$H$2:$H$1000)</f>
        <v>0</v>
      </c>
      <c r="K160" s="5">
        <f>SUMIF(Oct!$G$2:$G$1000,'2024 Summary'!A160,Oct!$H$2:$H$1000)</f>
        <v>0</v>
      </c>
      <c r="L160" s="5">
        <f>SUMIF(Nov!$G$2:$G$1000,'2024 Summary'!A160,Nov!$H$2:$H$1000)</f>
        <v>0</v>
      </c>
      <c r="M160" s="5">
        <f>SUMIF(Dec!$G$2:$G$1000,'2024 Summary'!A160,Dec!$H$2:$H$1000)</f>
        <v>0</v>
      </c>
      <c r="AA160" s="13">
        <f>Feb!G62</f>
        <v>0</v>
      </c>
    </row>
    <row r="161" spans="2:27" x14ac:dyDescent="0.25">
      <c r="B161" s="5">
        <f>SUMIF(Jan!$G$2:$G$1000,'2024 Summary'!A161,Jan!$H$2:$H$1000)</f>
        <v>0</v>
      </c>
      <c r="C161" s="5">
        <f>SUMIF(Feb!$G$2:$G$1000,'2024 Summary'!A161,Feb!$H$2:$H$1000)</f>
        <v>0</v>
      </c>
      <c r="D161" s="5">
        <f>SUMIF(Mar!$G$2:$G$1000,'2024 Summary'!A161,Mar!$H$2:$H$1000)</f>
        <v>0</v>
      </c>
      <c r="E161" s="5">
        <f>SUMIF(Apr!$G$2:$G$1000,'2024 Summary'!A161,Apr!$H$2:$H$1000)</f>
        <v>0</v>
      </c>
      <c r="F161" s="5">
        <f>SUMIF(May!$G$2:$G$1000,'2024 Summary'!A161,May!$H$2:$H$1000)</f>
        <v>0</v>
      </c>
      <c r="G161" s="5">
        <f>SUMIF(Jun!$G$2:$G$1000,'2024 Summary'!A161,Jun!$H$2:$H$1000)</f>
        <v>0</v>
      </c>
      <c r="H161" s="5">
        <f>SUMIF(Jul!$G$2:$G$1000,'2024 Summary'!A161,Jul!$H$2:$H$1000)</f>
        <v>0</v>
      </c>
      <c r="I161" s="5">
        <f>SUMIF(Aug!$G$2:$G$1000,'2024 Summary'!A161,Aug!$H$2:$H$1000)</f>
        <v>0</v>
      </c>
      <c r="J161" s="5">
        <f>SUMIF(Sep!$G$2:$G$1000,'2024 Summary'!A161,Sep!$H$2:$H$1000)</f>
        <v>0</v>
      </c>
      <c r="K161" s="5">
        <f>SUMIF(Oct!$G$2:$G$1000,'2024 Summary'!A161,Oct!$H$2:$H$1000)</f>
        <v>0</v>
      </c>
      <c r="L161" s="5">
        <f>SUMIF(Nov!$G$2:$G$1000,'2024 Summary'!A161,Nov!$H$2:$H$1000)</f>
        <v>0</v>
      </c>
      <c r="M161" s="5">
        <f>SUMIF(Dec!$G$2:$G$1000,'2024 Summary'!A161,Dec!$H$2:$H$1000)</f>
        <v>0</v>
      </c>
      <c r="AA161" s="13">
        <f>Feb!G63</f>
        <v>0</v>
      </c>
    </row>
    <row r="162" spans="2:27" x14ac:dyDescent="0.25">
      <c r="B162" s="5">
        <f>SUMIF(Jan!$G$2:$G$1000,'2024 Summary'!A162,Jan!$H$2:$H$1000)</f>
        <v>0</v>
      </c>
      <c r="C162" s="5">
        <f>SUMIF(Feb!$G$2:$G$1000,'2024 Summary'!A162,Feb!$H$2:$H$1000)</f>
        <v>0</v>
      </c>
      <c r="D162" s="5">
        <f>SUMIF(Mar!$G$2:$G$1000,'2024 Summary'!A162,Mar!$H$2:$H$1000)</f>
        <v>0</v>
      </c>
      <c r="E162" s="5">
        <f>SUMIF(Apr!$G$2:$G$1000,'2024 Summary'!A162,Apr!$H$2:$H$1000)</f>
        <v>0</v>
      </c>
      <c r="F162" s="5">
        <f>SUMIF(May!$G$2:$G$1000,'2024 Summary'!A162,May!$H$2:$H$1000)</f>
        <v>0</v>
      </c>
      <c r="G162" s="5">
        <f>SUMIF(Jun!$G$2:$G$1000,'2024 Summary'!A162,Jun!$H$2:$H$1000)</f>
        <v>0</v>
      </c>
      <c r="H162" s="5">
        <f>SUMIF(Jul!$G$2:$G$1000,'2024 Summary'!A162,Jul!$H$2:$H$1000)</f>
        <v>0</v>
      </c>
      <c r="I162" s="5">
        <f>SUMIF(Aug!$G$2:$G$1000,'2024 Summary'!A162,Aug!$H$2:$H$1000)</f>
        <v>0</v>
      </c>
      <c r="J162" s="5">
        <f>SUMIF(Sep!$G$2:$G$1000,'2024 Summary'!A162,Sep!$H$2:$H$1000)</f>
        <v>0</v>
      </c>
      <c r="K162" s="5">
        <f>SUMIF(Oct!$G$2:$G$1000,'2024 Summary'!A162,Oct!$H$2:$H$1000)</f>
        <v>0</v>
      </c>
      <c r="L162" s="5">
        <f>SUMIF(Nov!$G$2:$G$1000,'2024 Summary'!A162,Nov!$H$2:$H$1000)</f>
        <v>0</v>
      </c>
      <c r="M162" s="5">
        <f>SUMIF(Dec!$G$2:$G$1000,'2024 Summary'!A162,Dec!$H$2:$H$1000)</f>
        <v>0</v>
      </c>
      <c r="AA162" s="13">
        <f>Feb!G64</f>
        <v>0</v>
      </c>
    </row>
    <row r="163" spans="2:27" x14ac:dyDescent="0.25">
      <c r="B163" s="5">
        <f>SUMIF(Jan!$G$2:$G$1000,'2024 Summary'!A163,Jan!$H$2:$H$1000)</f>
        <v>0</v>
      </c>
      <c r="C163" s="5">
        <f>SUMIF(Feb!$G$2:$G$1000,'2024 Summary'!A163,Feb!$H$2:$H$1000)</f>
        <v>0</v>
      </c>
      <c r="D163" s="5">
        <f>SUMIF(Mar!$G$2:$G$1000,'2024 Summary'!A163,Mar!$H$2:$H$1000)</f>
        <v>0</v>
      </c>
      <c r="E163" s="5">
        <f>SUMIF(Apr!$G$2:$G$1000,'2024 Summary'!A163,Apr!$H$2:$H$1000)</f>
        <v>0</v>
      </c>
      <c r="F163" s="5">
        <f>SUMIF(May!$G$2:$G$1000,'2024 Summary'!A163,May!$H$2:$H$1000)</f>
        <v>0</v>
      </c>
      <c r="G163" s="5">
        <f>SUMIF(Jun!$G$2:$G$1000,'2024 Summary'!A163,Jun!$H$2:$H$1000)</f>
        <v>0</v>
      </c>
      <c r="H163" s="5">
        <f>SUMIF(Jul!$G$2:$G$1000,'2024 Summary'!A163,Jul!$H$2:$H$1000)</f>
        <v>0</v>
      </c>
      <c r="I163" s="5">
        <f>SUMIF(Aug!$G$2:$G$1000,'2024 Summary'!A163,Aug!$H$2:$H$1000)</f>
        <v>0</v>
      </c>
      <c r="J163" s="5">
        <f>SUMIF(Sep!$G$2:$G$1000,'2024 Summary'!A163,Sep!$H$2:$H$1000)</f>
        <v>0</v>
      </c>
      <c r="K163" s="5">
        <f>SUMIF(Oct!$G$2:$G$1000,'2024 Summary'!A163,Oct!$H$2:$H$1000)</f>
        <v>0</v>
      </c>
      <c r="L163" s="5">
        <f>SUMIF(Nov!$G$2:$G$1000,'2024 Summary'!A163,Nov!$H$2:$H$1000)</f>
        <v>0</v>
      </c>
      <c r="M163" s="5">
        <f>SUMIF(Dec!$G$2:$G$1000,'2024 Summary'!A163,Dec!$H$2:$H$1000)</f>
        <v>0</v>
      </c>
      <c r="AA163" s="13">
        <f>Feb!G65</f>
        <v>0</v>
      </c>
    </row>
    <row r="164" spans="2:27" x14ac:dyDescent="0.25">
      <c r="B164" s="5">
        <f>SUMIF(Jan!$G$2:$G$1000,'2024 Summary'!A164,Jan!$H$2:$H$1000)</f>
        <v>0</v>
      </c>
      <c r="C164" s="5">
        <f>SUMIF(Feb!$G$2:$G$1000,'2024 Summary'!A164,Feb!$H$2:$H$1000)</f>
        <v>0</v>
      </c>
      <c r="D164" s="5">
        <f>SUMIF(Mar!$G$2:$G$1000,'2024 Summary'!A164,Mar!$H$2:$H$1000)</f>
        <v>0</v>
      </c>
      <c r="E164" s="5">
        <f>SUMIF(Apr!$G$2:$G$1000,'2024 Summary'!A164,Apr!$H$2:$H$1000)</f>
        <v>0</v>
      </c>
      <c r="F164" s="5">
        <f>SUMIF(May!$G$2:$G$1000,'2024 Summary'!A164,May!$H$2:$H$1000)</f>
        <v>0</v>
      </c>
      <c r="G164" s="5">
        <f>SUMIF(Jun!$G$2:$G$1000,'2024 Summary'!A164,Jun!$H$2:$H$1000)</f>
        <v>0</v>
      </c>
      <c r="H164" s="5">
        <f>SUMIF(Jul!$G$2:$G$1000,'2024 Summary'!A164,Jul!$H$2:$H$1000)</f>
        <v>0</v>
      </c>
      <c r="I164" s="5">
        <f>SUMIF(Aug!$G$2:$G$1000,'2024 Summary'!A164,Aug!$H$2:$H$1000)</f>
        <v>0</v>
      </c>
      <c r="J164" s="5">
        <f>SUMIF(Sep!$G$2:$G$1000,'2024 Summary'!A164,Sep!$H$2:$H$1000)</f>
        <v>0</v>
      </c>
      <c r="K164" s="5">
        <f>SUMIF(Oct!$G$2:$G$1000,'2024 Summary'!A164,Oct!$H$2:$H$1000)</f>
        <v>0</v>
      </c>
      <c r="L164" s="5">
        <f>SUMIF(Nov!$G$2:$G$1000,'2024 Summary'!A164,Nov!$H$2:$H$1000)</f>
        <v>0</v>
      </c>
      <c r="M164" s="5">
        <f>SUMIF(Dec!$G$2:$G$1000,'2024 Summary'!A164,Dec!$H$2:$H$1000)</f>
        <v>0</v>
      </c>
      <c r="AA164" s="13">
        <f>Feb!G66</f>
        <v>0</v>
      </c>
    </row>
    <row r="165" spans="2:27" x14ac:dyDescent="0.25">
      <c r="B165" s="5">
        <f>SUMIF(Jan!$G$2:$G$1000,'2024 Summary'!A165,Jan!$H$2:$H$1000)</f>
        <v>0</v>
      </c>
      <c r="C165" s="5">
        <f>SUMIF(Feb!$G$2:$G$1000,'2024 Summary'!A165,Feb!$H$2:$H$1000)</f>
        <v>0</v>
      </c>
      <c r="D165" s="5">
        <f>SUMIF(Mar!$G$2:$G$1000,'2024 Summary'!A165,Mar!$H$2:$H$1000)</f>
        <v>0</v>
      </c>
      <c r="E165" s="5">
        <f>SUMIF(Apr!$G$2:$G$1000,'2024 Summary'!A165,Apr!$H$2:$H$1000)</f>
        <v>0</v>
      </c>
      <c r="F165" s="5">
        <f>SUMIF(May!$G$2:$G$1000,'2024 Summary'!A165,May!$H$2:$H$1000)</f>
        <v>0</v>
      </c>
      <c r="G165" s="5">
        <f>SUMIF(Jun!$G$2:$G$1000,'2024 Summary'!A165,Jun!$H$2:$H$1000)</f>
        <v>0</v>
      </c>
      <c r="H165" s="5">
        <f>SUMIF(Jul!$G$2:$G$1000,'2024 Summary'!A165,Jul!$H$2:$H$1000)</f>
        <v>0</v>
      </c>
      <c r="I165" s="5">
        <f>SUMIF(Aug!$G$2:$G$1000,'2024 Summary'!A165,Aug!$H$2:$H$1000)</f>
        <v>0</v>
      </c>
      <c r="J165" s="5">
        <f>SUMIF(Sep!$G$2:$G$1000,'2024 Summary'!A165,Sep!$H$2:$H$1000)</f>
        <v>0</v>
      </c>
      <c r="K165" s="5">
        <f>SUMIF(Oct!$G$2:$G$1000,'2024 Summary'!A165,Oct!$H$2:$H$1000)</f>
        <v>0</v>
      </c>
      <c r="L165" s="5">
        <f>SUMIF(Nov!$G$2:$G$1000,'2024 Summary'!A165,Nov!$H$2:$H$1000)</f>
        <v>0</v>
      </c>
      <c r="M165" s="5">
        <f>SUMIF(Dec!$G$2:$G$1000,'2024 Summary'!A165,Dec!$H$2:$H$1000)</f>
        <v>0</v>
      </c>
      <c r="AA165" s="13">
        <f>Feb!G67</f>
        <v>0</v>
      </c>
    </row>
    <row r="166" spans="2:27" x14ac:dyDescent="0.25">
      <c r="B166" s="5">
        <f>SUMIF(Jan!$G$2:$G$1000,'2024 Summary'!A166,Jan!$H$2:$H$1000)</f>
        <v>0</v>
      </c>
      <c r="C166" s="5">
        <f>SUMIF(Feb!$G$2:$G$1000,'2024 Summary'!A166,Feb!$H$2:$H$1000)</f>
        <v>0</v>
      </c>
      <c r="D166" s="5">
        <f>SUMIF(Mar!$G$2:$G$1000,'2024 Summary'!A166,Mar!$H$2:$H$1000)</f>
        <v>0</v>
      </c>
      <c r="E166" s="5">
        <f>SUMIF(Apr!$G$2:$G$1000,'2024 Summary'!A166,Apr!$H$2:$H$1000)</f>
        <v>0</v>
      </c>
      <c r="F166" s="5">
        <f>SUMIF(May!$G$2:$G$1000,'2024 Summary'!A166,May!$H$2:$H$1000)</f>
        <v>0</v>
      </c>
      <c r="G166" s="5">
        <f>SUMIF(Jun!$G$2:$G$1000,'2024 Summary'!A166,Jun!$H$2:$H$1000)</f>
        <v>0</v>
      </c>
      <c r="H166" s="5">
        <f>SUMIF(Jul!$G$2:$G$1000,'2024 Summary'!A166,Jul!$H$2:$H$1000)</f>
        <v>0</v>
      </c>
      <c r="I166" s="5">
        <f>SUMIF(Aug!$G$2:$G$1000,'2024 Summary'!A166,Aug!$H$2:$H$1000)</f>
        <v>0</v>
      </c>
      <c r="J166" s="5">
        <f>SUMIF(Sep!$G$2:$G$1000,'2024 Summary'!A166,Sep!$H$2:$H$1000)</f>
        <v>0</v>
      </c>
      <c r="K166" s="5">
        <f>SUMIF(Oct!$G$2:$G$1000,'2024 Summary'!A166,Oct!$H$2:$H$1000)</f>
        <v>0</v>
      </c>
      <c r="L166" s="5">
        <f>SUMIF(Nov!$G$2:$G$1000,'2024 Summary'!A166,Nov!$H$2:$H$1000)</f>
        <v>0</v>
      </c>
      <c r="M166" s="5">
        <f>SUMIF(Dec!$G$2:$G$1000,'2024 Summary'!A166,Dec!$H$2:$H$1000)</f>
        <v>0</v>
      </c>
      <c r="AA166" s="13">
        <f>Feb!G68</f>
        <v>0</v>
      </c>
    </row>
    <row r="167" spans="2:27" x14ac:dyDescent="0.25">
      <c r="B167" s="5">
        <f>SUMIF(Jan!$G$2:$G$1000,'2024 Summary'!A167,Jan!$H$2:$H$1000)</f>
        <v>0</v>
      </c>
      <c r="C167" s="5">
        <f>SUMIF(Feb!$G$2:$G$1000,'2024 Summary'!A167,Feb!$H$2:$H$1000)</f>
        <v>0</v>
      </c>
      <c r="D167" s="5">
        <f>SUMIF(Mar!$G$2:$G$1000,'2024 Summary'!A167,Mar!$H$2:$H$1000)</f>
        <v>0</v>
      </c>
      <c r="E167" s="5">
        <f>SUMIF(Apr!$G$2:$G$1000,'2024 Summary'!A167,Apr!$H$2:$H$1000)</f>
        <v>0</v>
      </c>
      <c r="F167" s="5">
        <f>SUMIF(May!$G$2:$G$1000,'2024 Summary'!A167,May!$H$2:$H$1000)</f>
        <v>0</v>
      </c>
      <c r="G167" s="5">
        <f>SUMIF(Jun!$G$2:$G$1000,'2024 Summary'!A167,Jun!$H$2:$H$1000)</f>
        <v>0</v>
      </c>
      <c r="H167" s="5">
        <f>SUMIF(Jul!$G$2:$G$1000,'2024 Summary'!A167,Jul!$H$2:$H$1000)</f>
        <v>0</v>
      </c>
      <c r="I167" s="5">
        <f>SUMIF(Aug!$G$2:$G$1000,'2024 Summary'!A167,Aug!$H$2:$H$1000)</f>
        <v>0</v>
      </c>
      <c r="J167" s="5">
        <f>SUMIF(Sep!$G$2:$G$1000,'2024 Summary'!A167,Sep!$H$2:$H$1000)</f>
        <v>0</v>
      </c>
      <c r="K167" s="5">
        <f>SUMIF(Oct!$G$2:$G$1000,'2024 Summary'!A167,Oct!$H$2:$H$1000)</f>
        <v>0</v>
      </c>
      <c r="L167" s="5">
        <f>SUMIF(Nov!$G$2:$G$1000,'2024 Summary'!A167,Nov!$H$2:$H$1000)</f>
        <v>0</v>
      </c>
      <c r="M167" s="5">
        <f>SUMIF(Dec!$G$2:$G$1000,'2024 Summary'!A167,Dec!$H$2:$H$1000)</f>
        <v>0</v>
      </c>
      <c r="AA167" s="13">
        <f>Feb!G69</f>
        <v>0</v>
      </c>
    </row>
    <row r="168" spans="2:27" x14ac:dyDescent="0.25">
      <c r="B168" s="5">
        <f>SUMIF(Jan!$G$2:$G$1000,'2024 Summary'!A168,Jan!$H$2:$H$1000)</f>
        <v>0</v>
      </c>
      <c r="C168" s="5">
        <f>SUMIF(Feb!$G$2:$G$1000,'2024 Summary'!A168,Feb!$H$2:$H$1000)</f>
        <v>0</v>
      </c>
      <c r="D168" s="5">
        <f>SUMIF(Mar!$G$2:$G$1000,'2024 Summary'!A168,Mar!$H$2:$H$1000)</f>
        <v>0</v>
      </c>
      <c r="E168" s="5">
        <f>SUMIF(Apr!$G$2:$G$1000,'2024 Summary'!A168,Apr!$H$2:$H$1000)</f>
        <v>0</v>
      </c>
      <c r="F168" s="5">
        <f>SUMIF(May!$G$2:$G$1000,'2024 Summary'!A168,May!$H$2:$H$1000)</f>
        <v>0</v>
      </c>
      <c r="G168" s="5">
        <f>SUMIF(Jun!$G$2:$G$1000,'2024 Summary'!A168,Jun!$H$2:$H$1000)</f>
        <v>0</v>
      </c>
      <c r="H168" s="5">
        <f>SUMIF(Jul!$G$2:$G$1000,'2024 Summary'!A168,Jul!$H$2:$H$1000)</f>
        <v>0</v>
      </c>
      <c r="I168" s="5">
        <f>SUMIF(Aug!$G$2:$G$1000,'2024 Summary'!A168,Aug!$H$2:$H$1000)</f>
        <v>0</v>
      </c>
      <c r="J168" s="5">
        <f>SUMIF(Sep!$G$2:$G$1000,'2024 Summary'!A168,Sep!$H$2:$H$1000)</f>
        <v>0</v>
      </c>
      <c r="K168" s="5">
        <f>SUMIF(Oct!$G$2:$G$1000,'2024 Summary'!A168,Oct!$H$2:$H$1000)</f>
        <v>0</v>
      </c>
      <c r="L168" s="5">
        <f>SUMIF(Nov!$G$2:$G$1000,'2024 Summary'!A168,Nov!$H$2:$H$1000)</f>
        <v>0</v>
      </c>
      <c r="M168" s="5">
        <f>SUMIF(Dec!$G$2:$G$1000,'2024 Summary'!A168,Dec!$H$2:$H$1000)</f>
        <v>0</v>
      </c>
      <c r="AA168" s="13">
        <f>Feb!G70</f>
        <v>0</v>
      </c>
    </row>
    <row r="169" spans="2:27" x14ac:dyDescent="0.25">
      <c r="B169" s="5">
        <f>SUMIF(Jan!$G$2:$G$1000,'2024 Summary'!A169,Jan!$H$2:$H$1000)</f>
        <v>0</v>
      </c>
      <c r="C169" s="5">
        <f>SUMIF(Feb!$G$2:$G$1000,'2024 Summary'!A169,Feb!$H$2:$H$1000)</f>
        <v>0</v>
      </c>
      <c r="D169" s="5">
        <f>SUMIF(Mar!$G$2:$G$1000,'2024 Summary'!A169,Mar!$H$2:$H$1000)</f>
        <v>0</v>
      </c>
      <c r="E169" s="5">
        <f>SUMIF(Apr!$G$2:$G$1000,'2024 Summary'!A169,Apr!$H$2:$H$1000)</f>
        <v>0</v>
      </c>
      <c r="F169" s="5">
        <f>SUMIF(May!$G$2:$G$1000,'2024 Summary'!A169,May!$H$2:$H$1000)</f>
        <v>0</v>
      </c>
      <c r="G169" s="5">
        <f>SUMIF(Jun!$G$2:$G$1000,'2024 Summary'!A169,Jun!$H$2:$H$1000)</f>
        <v>0</v>
      </c>
      <c r="H169" s="5">
        <f>SUMIF(Jul!$G$2:$G$1000,'2024 Summary'!A169,Jul!$H$2:$H$1000)</f>
        <v>0</v>
      </c>
      <c r="I169" s="5">
        <f>SUMIF(Aug!$G$2:$G$1000,'2024 Summary'!A169,Aug!$H$2:$H$1000)</f>
        <v>0</v>
      </c>
      <c r="J169" s="5">
        <f>SUMIF(Sep!$G$2:$G$1000,'2024 Summary'!A169,Sep!$H$2:$H$1000)</f>
        <v>0</v>
      </c>
      <c r="K169" s="5">
        <f>SUMIF(Oct!$G$2:$G$1000,'2024 Summary'!A169,Oct!$H$2:$H$1000)</f>
        <v>0</v>
      </c>
      <c r="L169" s="5">
        <f>SUMIF(Nov!$G$2:$G$1000,'2024 Summary'!A169,Nov!$H$2:$H$1000)</f>
        <v>0</v>
      </c>
      <c r="M169" s="5">
        <f>SUMIF(Dec!$G$2:$G$1000,'2024 Summary'!A169,Dec!$H$2:$H$1000)</f>
        <v>0</v>
      </c>
      <c r="AA169" s="13">
        <f>Feb!G71</f>
        <v>0</v>
      </c>
    </row>
    <row r="170" spans="2:27" x14ac:dyDescent="0.25">
      <c r="B170" s="5">
        <f>SUMIF(Jan!$G$2:$G$1000,'2024 Summary'!A170,Jan!$H$2:$H$1000)</f>
        <v>0</v>
      </c>
      <c r="C170" s="5">
        <f>SUMIF(Feb!$G$2:$G$1000,'2024 Summary'!A170,Feb!$H$2:$H$1000)</f>
        <v>0</v>
      </c>
      <c r="D170" s="5">
        <f>SUMIF(Mar!$G$2:$G$1000,'2024 Summary'!A170,Mar!$H$2:$H$1000)</f>
        <v>0</v>
      </c>
      <c r="E170" s="5">
        <f>SUMIF(Apr!$G$2:$G$1000,'2024 Summary'!A170,Apr!$H$2:$H$1000)</f>
        <v>0</v>
      </c>
      <c r="F170" s="5">
        <f>SUMIF(May!$G$2:$G$1000,'2024 Summary'!A170,May!$H$2:$H$1000)</f>
        <v>0</v>
      </c>
      <c r="G170" s="5">
        <f>SUMIF(Jun!$G$2:$G$1000,'2024 Summary'!A170,Jun!$H$2:$H$1000)</f>
        <v>0</v>
      </c>
      <c r="H170" s="5">
        <f>SUMIF(Jul!$G$2:$G$1000,'2024 Summary'!A170,Jul!$H$2:$H$1000)</f>
        <v>0</v>
      </c>
      <c r="I170" s="5">
        <f>SUMIF(Aug!$G$2:$G$1000,'2024 Summary'!A170,Aug!$H$2:$H$1000)</f>
        <v>0</v>
      </c>
      <c r="J170" s="5">
        <f>SUMIF(Sep!$G$2:$G$1000,'2024 Summary'!A170,Sep!$H$2:$H$1000)</f>
        <v>0</v>
      </c>
      <c r="K170" s="5">
        <f>SUMIF(Oct!$G$2:$G$1000,'2024 Summary'!A170,Oct!$H$2:$H$1000)</f>
        <v>0</v>
      </c>
      <c r="L170" s="5">
        <f>SUMIF(Nov!$G$2:$G$1000,'2024 Summary'!A170,Nov!$H$2:$H$1000)</f>
        <v>0</v>
      </c>
      <c r="M170" s="5">
        <f>SUMIF(Dec!$G$2:$G$1000,'2024 Summary'!A170,Dec!$H$2:$H$1000)</f>
        <v>0</v>
      </c>
      <c r="AA170" s="13">
        <f>Feb!G72</f>
        <v>0</v>
      </c>
    </row>
    <row r="171" spans="2:27" x14ac:dyDescent="0.25">
      <c r="B171" s="5">
        <f>SUMIF(Jan!$G$2:$G$1000,'2024 Summary'!A171,Jan!$H$2:$H$1000)</f>
        <v>0</v>
      </c>
      <c r="C171" s="5">
        <f>SUMIF(Feb!$G$2:$G$1000,'2024 Summary'!A171,Feb!$H$2:$H$1000)</f>
        <v>0</v>
      </c>
      <c r="D171" s="5">
        <f>SUMIF(Mar!$G$2:$G$1000,'2024 Summary'!A171,Mar!$H$2:$H$1000)</f>
        <v>0</v>
      </c>
      <c r="E171" s="5">
        <f>SUMIF(Apr!$G$2:$G$1000,'2024 Summary'!A171,Apr!$H$2:$H$1000)</f>
        <v>0</v>
      </c>
      <c r="F171" s="5">
        <f>SUMIF(May!$G$2:$G$1000,'2024 Summary'!A171,May!$H$2:$H$1000)</f>
        <v>0</v>
      </c>
      <c r="G171" s="5">
        <f>SUMIF(Jun!$G$2:$G$1000,'2024 Summary'!A171,Jun!$H$2:$H$1000)</f>
        <v>0</v>
      </c>
      <c r="H171" s="5">
        <f>SUMIF(Jul!$G$2:$G$1000,'2024 Summary'!A171,Jul!$H$2:$H$1000)</f>
        <v>0</v>
      </c>
      <c r="I171" s="5">
        <f>SUMIF(Aug!$G$2:$G$1000,'2024 Summary'!A171,Aug!$H$2:$H$1000)</f>
        <v>0</v>
      </c>
      <c r="J171" s="5">
        <f>SUMIF(Sep!$G$2:$G$1000,'2024 Summary'!A171,Sep!$H$2:$H$1000)</f>
        <v>0</v>
      </c>
      <c r="K171" s="5">
        <f>SUMIF(Oct!$G$2:$G$1000,'2024 Summary'!A171,Oct!$H$2:$H$1000)</f>
        <v>0</v>
      </c>
      <c r="L171" s="5">
        <f>SUMIF(Nov!$G$2:$G$1000,'2024 Summary'!A171,Nov!$H$2:$H$1000)</f>
        <v>0</v>
      </c>
      <c r="M171" s="5">
        <f>SUMIF(Dec!$G$2:$G$1000,'2024 Summary'!A171,Dec!$H$2:$H$1000)</f>
        <v>0</v>
      </c>
      <c r="AA171" s="13">
        <f>Feb!G73</f>
        <v>0</v>
      </c>
    </row>
    <row r="172" spans="2:27" x14ac:dyDescent="0.25">
      <c r="B172" s="5">
        <f>SUMIF(Jan!$G$2:$G$1000,'2024 Summary'!A172,Jan!$H$2:$H$1000)</f>
        <v>0</v>
      </c>
      <c r="C172" s="5">
        <f>SUMIF(Feb!$G$2:$G$1000,'2024 Summary'!A172,Feb!$H$2:$H$1000)</f>
        <v>0</v>
      </c>
      <c r="D172" s="5">
        <f>SUMIF(Mar!$G$2:$G$1000,'2024 Summary'!A172,Mar!$H$2:$H$1000)</f>
        <v>0</v>
      </c>
      <c r="E172" s="5">
        <f>SUMIF(Apr!$G$2:$G$1000,'2024 Summary'!A172,Apr!$H$2:$H$1000)</f>
        <v>0</v>
      </c>
      <c r="F172" s="5">
        <f>SUMIF(May!$G$2:$G$1000,'2024 Summary'!A172,May!$H$2:$H$1000)</f>
        <v>0</v>
      </c>
      <c r="G172" s="5">
        <f>SUMIF(Jun!$G$2:$G$1000,'2024 Summary'!A172,Jun!$H$2:$H$1000)</f>
        <v>0</v>
      </c>
      <c r="H172" s="5">
        <f>SUMIF(Jul!$G$2:$G$1000,'2024 Summary'!A172,Jul!$H$2:$H$1000)</f>
        <v>0</v>
      </c>
      <c r="I172" s="5">
        <f>SUMIF(Aug!$G$2:$G$1000,'2024 Summary'!A172,Aug!$H$2:$H$1000)</f>
        <v>0</v>
      </c>
      <c r="J172" s="5">
        <f>SUMIF(Sep!$G$2:$G$1000,'2024 Summary'!A172,Sep!$H$2:$H$1000)</f>
        <v>0</v>
      </c>
      <c r="K172" s="5">
        <f>SUMIF(Oct!$G$2:$G$1000,'2024 Summary'!A172,Oct!$H$2:$H$1000)</f>
        <v>0</v>
      </c>
      <c r="L172" s="5">
        <f>SUMIF(Nov!$G$2:$G$1000,'2024 Summary'!A172,Nov!$H$2:$H$1000)</f>
        <v>0</v>
      </c>
      <c r="M172" s="5">
        <f>SUMIF(Dec!$G$2:$G$1000,'2024 Summary'!A172,Dec!$H$2:$H$1000)</f>
        <v>0</v>
      </c>
      <c r="AA172" s="13">
        <f>Feb!G74</f>
        <v>0</v>
      </c>
    </row>
    <row r="173" spans="2:27" x14ac:dyDescent="0.25">
      <c r="B173" s="5">
        <f>SUMIF(Jan!$G$2:$G$1000,'2024 Summary'!A173,Jan!$H$2:$H$1000)</f>
        <v>0</v>
      </c>
      <c r="C173" s="5">
        <f>SUMIF(Feb!$G$2:$G$1000,'2024 Summary'!A173,Feb!$H$2:$H$1000)</f>
        <v>0</v>
      </c>
      <c r="D173" s="5">
        <f>SUMIF(Mar!$G$2:$G$1000,'2024 Summary'!A173,Mar!$H$2:$H$1000)</f>
        <v>0</v>
      </c>
      <c r="E173" s="5">
        <f>SUMIF(Apr!$G$2:$G$1000,'2024 Summary'!A173,Apr!$H$2:$H$1000)</f>
        <v>0</v>
      </c>
      <c r="F173" s="5">
        <f>SUMIF(May!$G$2:$G$1000,'2024 Summary'!A173,May!$H$2:$H$1000)</f>
        <v>0</v>
      </c>
      <c r="G173" s="5">
        <f>SUMIF(Jun!$G$2:$G$1000,'2024 Summary'!A173,Jun!$H$2:$H$1000)</f>
        <v>0</v>
      </c>
      <c r="H173" s="5">
        <f>SUMIF(Jul!$G$2:$G$1000,'2024 Summary'!A173,Jul!$H$2:$H$1000)</f>
        <v>0</v>
      </c>
      <c r="I173" s="5">
        <f>SUMIF(Aug!$G$2:$G$1000,'2024 Summary'!A173,Aug!$H$2:$H$1000)</f>
        <v>0</v>
      </c>
      <c r="J173" s="5">
        <f>SUMIF(Sep!$G$2:$G$1000,'2024 Summary'!A173,Sep!$H$2:$H$1000)</f>
        <v>0</v>
      </c>
      <c r="K173" s="5">
        <f>SUMIF(Oct!$G$2:$G$1000,'2024 Summary'!A173,Oct!$H$2:$H$1000)</f>
        <v>0</v>
      </c>
      <c r="L173" s="5">
        <f>SUMIF(Nov!$G$2:$G$1000,'2024 Summary'!A173,Nov!$H$2:$H$1000)</f>
        <v>0</v>
      </c>
      <c r="M173" s="5">
        <f>SUMIF(Dec!$G$2:$G$1000,'2024 Summary'!A173,Dec!$H$2:$H$1000)</f>
        <v>0</v>
      </c>
      <c r="AA173" s="13">
        <f>Feb!G75</f>
        <v>0</v>
      </c>
    </row>
    <row r="174" spans="2:27" x14ac:dyDescent="0.25">
      <c r="B174" s="5">
        <f>SUMIF(Jan!$G$2:$G$1000,'2024 Summary'!A174,Jan!$H$2:$H$1000)</f>
        <v>0</v>
      </c>
      <c r="C174" s="5">
        <f>SUMIF(Feb!$G$2:$G$1000,'2024 Summary'!A174,Feb!$H$2:$H$1000)</f>
        <v>0</v>
      </c>
      <c r="D174" s="5">
        <f>SUMIF(Mar!$G$2:$G$1000,'2024 Summary'!A174,Mar!$H$2:$H$1000)</f>
        <v>0</v>
      </c>
      <c r="E174" s="5">
        <f>SUMIF(Apr!$G$2:$G$1000,'2024 Summary'!A174,Apr!$H$2:$H$1000)</f>
        <v>0</v>
      </c>
      <c r="F174" s="5">
        <f>SUMIF(May!$G$2:$G$1000,'2024 Summary'!A174,May!$H$2:$H$1000)</f>
        <v>0</v>
      </c>
      <c r="G174" s="5">
        <f>SUMIF(Jun!$G$2:$G$1000,'2024 Summary'!A174,Jun!$H$2:$H$1000)</f>
        <v>0</v>
      </c>
      <c r="H174" s="5">
        <f>SUMIF(Jul!$G$2:$G$1000,'2024 Summary'!A174,Jul!$H$2:$H$1000)</f>
        <v>0</v>
      </c>
      <c r="I174" s="5">
        <f>SUMIF(Aug!$G$2:$G$1000,'2024 Summary'!A174,Aug!$H$2:$H$1000)</f>
        <v>0</v>
      </c>
      <c r="J174" s="5">
        <f>SUMIF(Sep!$G$2:$G$1000,'2024 Summary'!A174,Sep!$H$2:$H$1000)</f>
        <v>0</v>
      </c>
      <c r="K174" s="5">
        <f>SUMIF(Oct!$G$2:$G$1000,'2024 Summary'!A174,Oct!$H$2:$H$1000)</f>
        <v>0</v>
      </c>
      <c r="L174" s="5">
        <f>SUMIF(Nov!$G$2:$G$1000,'2024 Summary'!A174,Nov!$H$2:$H$1000)</f>
        <v>0</v>
      </c>
      <c r="M174" s="5">
        <f>SUMIF(Dec!$G$2:$G$1000,'2024 Summary'!A174,Dec!$H$2:$H$1000)</f>
        <v>0</v>
      </c>
      <c r="AA174" s="13">
        <f>Feb!G76</f>
        <v>0</v>
      </c>
    </row>
    <row r="175" spans="2:27" x14ac:dyDescent="0.25">
      <c r="B175" s="5">
        <f>SUMIF(Jan!$G$2:$G$1000,'2024 Summary'!A175,Jan!$H$2:$H$1000)</f>
        <v>0</v>
      </c>
      <c r="C175" s="5">
        <f>SUMIF(Feb!$G$2:$G$1000,'2024 Summary'!A175,Feb!$H$2:$H$1000)</f>
        <v>0</v>
      </c>
      <c r="D175" s="5">
        <f>SUMIF(Mar!$G$2:$G$1000,'2024 Summary'!A175,Mar!$H$2:$H$1000)</f>
        <v>0</v>
      </c>
      <c r="E175" s="5">
        <f>SUMIF(Apr!$G$2:$G$1000,'2024 Summary'!A175,Apr!$H$2:$H$1000)</f>
        <v>0</v>
      </c>
      <c r="F175" s="5">
        <f>SUMIF(May!$G$2:$G$1000,'2024 Summary'!A175,May!$H$2:$H$1000)</f>
        <v>0</v>
      </c>
      <c r="G175" s="5">
        <f>SUMIF(Jun!$G$2:$G$1000,'2024 Summary'!A175,Jun!$H$2:$H$1000)</f>
        <v>0</v>
      </c>
      <c r="H175" s="5">
        <f>SUMIF(Jul!$G$2:$G$1000,'2024 Summary'!A175,Jul!$H$2:$H$1000)</f>
        <v>0</v>
      </c>
      <c r="I175" s="5">
        <f>SUMIF(Aug!$G$2:$G$1000,'2024 Summary'!A175,Aug!$H$2:$H$1000)</f>
        <v>0</v>
      </c>
      <c r="J175" s="5">
        <f>SUMIF(Sep!$G$2:$G$1000,'2024 Summary'!A175,Sep!$H$2:$H$1000)</f>
        <v>0</v>
      </c>
      <c r="K175" s="5">
        <f>SUMIF(Oct!$G$2:$G$1000,'2024 Summary'!A175,Oct!$H$2:$H$1000)</f>
        <v>0</v>
      </c>
      <c r="L175" s="5">
        <f>SUMIF(Nov!$G$2:$G$1000,'2024 Summary'!A175,Nov!$H$2:$H$1000)</f>
        <v>0</v>
      </c>
      <c r="M175" s="5">
        <f>SUMIF(Dec!$G$2:$G$1000,'2024 Summary'!A175,Dec!$H$2:$H$1000)</f>
        <v>0</v>
      </c>
      <c r="AA175" s="13">
        <f>Feb!G77</f>
        <v>0</v>
      </c>
    </row>
    <row r="176" spans="2:27" x14ac:dyDescent="0.25">
      <c r="B176" s="5">
        <f>SUMIF(Jan!$G$2:$G$1000,'2024 Summary'!A176,Jan!$H$2:$H$1000)</f>
        <v>0</v>
      </c>
      <c r="C176" s="5">
        <f>SUMIF(Feb!$G$2:$G$1000,'2024 Summary'!A176,Feb!$H$2:$H$1000)</f>
        <v>0</v>
      </c>
      <c r="D176" s="5">
        <f>SUMIF(Mar!$G$2:$G$1000,'2024 Summary'!A176,Mar!$H$2:$H$1000)</f>
        <v>0</v>
      </c>
      <c r="E176" s="5">
        <f>SUMIF(Apr!$G$2:$G$1000,'2024 Summary'!A176,Apr!$H$2:$H$1000)</f>
        <v>0</v>
      </c>
      <c r="F176" s="5">
        <f>SUMIF(May!$G$2:$G$1000,'2024 Summary'!A176,May!$H$2:$H$1000)</f>
        <v>0</v>
      </c>
      <c r="G176" s="5">
        <f>SUMIF(Jun!$G$2:$G$1000,'2024 Summary'!A176,Jun!$H$2:$H$1000)</f>
        <v>0</v>
      </c>
      <c r="H176" s="5">
        <f>SUMIF(Jul!$G$2:$G$1000,'2024 Summary'!A176,Jul!$H$2:$H$1000)</f>
        <v>0</v>
      </c>
      <c r="I176" s="5">
        <f>SUMIF(Aug!$G$2:$G$1000,'2024 Summary'!A176,Aug!$H$2:$H$1000)</f>
        <v>0</v>
      </c>
      <c r="J176" s="5">
        <f>SUMIF(Sep!$G$2:$G$1000,'2024 Summary'!A176,Sep!$H$2:$H$1000)</f>
        <v>0</v>
      </c>
      <c r="K176" s="5">
        <f>SUMIF(Oct!$G$2:$G$1000,'2024 Summary'!A176,Oct!$H$2:$H$1000)</f>
        <v>0</v>
      </c>
      <c r="L176" s="5">
        <f>SUMIF(Nov!$G$2:$G$1000,'2024 Summary'!A176,Nov!$H$2:$H$1000)</f>
        <v>0</v>
      </c>
      <c r="M176" s="5">
        <f>SUMIF(Dec!$G$2:$G$1000,'2024 Summary'!A176,Dec!$H$2:$H$1000)</f>
        <v>0</v>
      </c>
      <c r="AA176" s="13">
        <f>Feb!G78</f>
        <v>0</v>
      </c>
    </row>
    <row r="177" spans="2:27" x14ac:dyDescent="0.25">
      <c r="B177" s="5">
        <f>SUMIF(Jan!$G$2:$G$1000,'2024 Summary'!A177,Jan!$H$2:$H$1000)</f>
        <v>0</v>
      </c>
      <c r="C177" s="5">
        <f>SUMIF(Feb!$G$2:$G$1000,'2024 Summary'!A177,Feb!$H$2:$H$1000)</f>
        <v>0</v>
      </c>
      <c r="D177" s="5">
        <f>SUMIF(Mar!$G$2:$G$1000,'2024 Summary'!A177,Mar!$H$2:$H$1000)</f>
        <v>0</v>
      </c>
      <c r="E177" s="5">
        <f>SUMIF(Apr!$G$2:$G$1000,'2024 Summary'!A177,Apr!$H$2:$H$1000)</f>
        <v>0</v>
      </c>
      <c r="F177" s="5">
        <f>SUMIF(May!$G$2:$G$1000,'2024 Summary'!A177,May!$H$2:$H$1000)</f>
        <v>0</v>
      </c>
      <c r="G177" s="5">
        <f>SUMIF(Jun!$G$2:$G$1000,'2024 Summary'!A177,Jun!$H$2:$H$1000)</f>
        <v>0</v>
      </c>
      <c r="H177" s="5">
        <f>SUMIF(Jul!$G$2:$G$1000,'2024 Summary'!A177,Jul!$H$2:$H$1000)</f>
        <v>0</v>
      </c>
      <c r="I177" s="5">
        <f>SUMIF(Aug!$G$2:$G$1000,'2024 Summary'!A177,Aug!$H$2:$H$1000)</f>
        <v>0</v>
      </c>
      <c r="J177" s="5">
        <f>SUMIF(Sep!$G$2:$G$1000,'2024 Summary'!A177,Sep!$H$2:$H$1000)</f>
        <v>0</v>
      </c>
      <c r="K177" s="5">
        <f>SUMIF(Oct!$G$2:$G$1000,'2024 Summary'!A177,Oct!$H$2:$H$1000)</f>
        <v>0</v>
      </c>
      <c r="L177" s="5">
        <f>SUMIF(Nov!$G$2:$G$1000,'2024 Summary'!A177,Nov!$H$2:$H$1000)</f>
        <v>0</v>
      </c>
      <c r="M177" s="5">
        <f>SUMIF(Dec!$G$2:$G$1000,'2024 Summary'!A177,Dec!$H$2:$H$1000)</f>
        <v>0</v>
      </c>
      <c r="AA177" s="13">
        <f>Feb!G79</f>
        <v>0</v>
      </c>
    </row>
    <row r="178" spans="2:27" x14ac:dyDescent="0.25">
      <c r="B178" s="5">
        <f>SUMIF(Jan!$G$2:$G$1000,'2024 Summary'!A178,Jan!$H$2:$H$1000)</f>
        <v>0</v>
      </c>
      <c r="C178" s="5">
        <f>SUMIF(Feb!$G$2:$G$1000,'2024 Summary'!A178,Feb!$H$2:$H$1000)</f>
        <v>0</v>
      </c>
      <c r="D178" s="5">
        <f>SUMIF(Mar!$G$2:$G$1000,'2024 Summary'!A178,Mar!$H$2:$H$1000)</f>
        <v>0</v>
      </c>
      <c r="E178" s="5">
        <f>SUMIF(Apr!$G$2:$G$1000,'2024 Summary'!A178,Apr!$H$2:$H$1000)</f>
        <v>0</v>
      </c>
      <c r="F178" s="5">
        <f>SUMIF(May!$G$2:$G$1000,'2024 Summary'!A178,May!$H$2:$H$1000)</f>
        <v>0</v>
      </c>
      <c r="G178" s="5">
        <f>SUMIF(Jun!$G$2:$G$1000,'2024 Summary'!A178,Jun!$H$2:$H$1000)</f>
        <v>0</v>
      </c>
      <c r="H178" s="5">
        <f>SUMIF(Jul!$G$2:$G$1000,'2024 Summary'!A178,Jul!$H$2:$H$1000)</f>
        <v>0</v>
      </c>
      <c r="I178" s="5">
        <f>SUMIF(Aug!$G$2:$G$1000,'2024 Summary'!A178,Aug!$H$2:$H$1000)</f>
        <v>0</v>
      </c>
      <c r="J178" s="5">
        <f>SUMIF(Sep!$G$2:$G$1000,'2024 Summary'!A178,Sep!$H$2:$H$1000)</f>
        <v>0</v>
      </c>
      <c r="K178" s="5">
        <f>SUMIF(Oct!$G$2:$G$1000,'2024 Summary'!A178,Oct!$H$2:$H$1000)</f>
        <v>0</v>
      </c>
      <c r="L178" s="5">
        <f>SUMIF(Nov!$G$2:$G$1000,'2024 Summary'!A178,Nov!$H$2:$H$1000)</f>
        <v>0</v>
      </c>
      <c r="M178" s="5">
        <f>SUMIF(Dec!$G$2:$G$1000,'2024 Summary'!A178,Dec!$H$2:$H$1000)</f>
        <v>0</v>
      </c>
      <c r="AA178" s="13">
        <f>Feb!G80</f>
        <v>0</v>
      </c>
    </row>
    <row r="179" spans="2:27" x14ac:dyDescent="0.25">
      <c r="B179" s="5">
        <f>SUMIF(Jan!$G$2:$G$1000,'2024 Summary'!A179,Jan!$H$2:$H$1000)</f>
        <v>0</v>
      </c>
      <c r="C179" s="5">
        <f>SUMIF(Feb!$G$2:$G$1000,'2024 Summary'!A179,Feb!$H$2:$H$1000)</f>
        <v>0</v>
      </c>
      <c r="D179" s="5">
        <f>SUMIF(Mar!$G$2:$G$1000,'2024 Summary'!A179,Mar!$H$2:$H$1000)</f>
        <v>0</v>
      </c>
      <c r="E179" s="5">
        <f>SUMIF(Apr!$G$2:$G$1000,'2024 Summary'!A179,Apr!$H$2:$H$1000)</f>
        <v>0</v>
      </c>
      <c r="F179" s="5">
        <f>SUMIF(May!$G$2:$G$1000,'2024 Summary'!A179,May!$H$2:$H$1000)</f>
        <v>0</v>
      </c>
      <c r="G179" s="5">
        <f>SUMIF(Jun!$G$2:$G$1000,'2024 Summary'!A179,Jun!$H$2:$H$1000)</f>
        <v>0</v>
      </c>
      <c r="H179" s="5">
        <f>SUMIF(Jul!$G$2:$G$1000,'2024 Summary'!A179,Jul!$H$2:$H$1000)</f>
        <v>0</v>
      </c>
      <c r="I179" s="5">
        <f>SUMIF(Aug!$G$2:$G$1000,'2024 Summary'!A179,Aug!$H$2:$H$1000)</f>
        <v>0</v>
      </c>
      <c r="J179" s="5">
        <f>SUMIF(Sep!$G$2:$G$1000,'2024 Summary'!A179,Sep!$H$2:$H$1000)</f>
        <v>0</v>
      </c>
      <c r="K179" s="5">
        <f>SUMIF(Oct!$G$2:$G$1000,'2024 Summary'!A179,Oct!$H$2:$H$1000)</f>
        <v>0</v>
      </c>
      <c r="L179" s="5">
        <f>SUMIF(Nov!$G$2:$G$1000,'2024 Summary'!A179,Nov!$H$2:$H$1000)</f>
        <v>0</v>
      </c>
      <c r="M179" s="5">
        <f>SUMIF(Dec!$G$2:$G$1000,'2024 Summary'!A179,Dec!$H$2:$H$1000)</f>
        <v>0</v>
      </c>
      <c r="AA179" s="13">
        <f>Feb!G81</f>
        <v>0</v>
      </c>
    </row>
    <row r="180" spans="2:27" x14ac:dyDescent="0.25">
      <c r="B180" s="5">
        <f>SUMIF(Jan!$G$2:$G$1000,'2024 Summary'!A180,Jan!$H$2:$H$1000)</f>
        <v>0</v>
      </c>
      <c r="C180" s="5">
        <f>SUMIF(Feb!$G$2:$G$1000,'2024 Summary'!A180,Feb!$H$2:$H$1000)</f>
        <v>0</v>
      </c>
      <c r="D180" s="5">
        <f>SUMIF(Mar!$G$2:$G$1000,'2024 Summary'!A180,Mar!$H$2:$H$1000)</f>
        <v>0</v>
      </c>
      <c r="E180" s="5">
        <f>SUMIF(Apr!$G$2:$G$1000,'2024 Summary'!A180,Apr!$H$2:$H$1000)</f>
        <v>0</v>
      </c>
      <c r="F180" s="5">
        <f>SUMIF(May!$G$2:$G$1000,'2024 Summary'!A180,May!$H$2:$H$1000)</f>
        <v>0</v>
      </c>
      <c r="G180" s="5">
        <f>SUMIF(Jun!$G$2:$G$1000,'2024 Summary'!A180,Jun!$H$2:$H$1000)</f>
        <v>0</v>
      </c>
      <c r="H180" s="5">
        <f>SUMIF(Jul!$G$2:$G$1000,'2024 Summary'!A180,Jul!$H$2:$H$1000)</f>
        <v>0</v>
      </c>
      <c r="I180" s="5">
        <f>SUMIF(Aug!$G$2:$G$1000,'2024 Summary'!A180,Aug!$H$2:$H$1000)</f>
        <v>0</v>
      </c>
      <c r="J180" s="5">
        <f>SUMIF(Sep!$G$2:$G$1000,'2024 Summary'!A180,Sep!$H$2:$H$1000)</f>
        <v>0</v>
      </c>
      <c r="K180" s="5">
        <f>SUMIF(Oct!$G$2:$G$1000,'2024 Summary'!A180,Oct!$H$2:$H$1000)</f>
        <v>0</v>
      </c>
      <c r="L180" s="5">
        <f>SUMIF(Nov!$G$2:$G$1000,'2024 Summary'!A180,Nov!$H$2:$H$1000)</f>
        <v>0</v>
      </c>
      <c r="M180" s="5">
        <f>SUMIF(Dec!$G$2:$G$1000,'2024 Summary'!A180,Dec!$H$2:$H$1000)</f>
        <v>0</v>
      </c>
      <c r="AA180" s="13">
        <f>Feb!G82</f>
        <v>0</v>
      </c>
    </row>
    <row r="181" spans="2:27" x14ac:dyDescent="0.25">
      <c r="B181" s="5">
        <f>SUMIF(Jan!$G$2:$G$1000,'2024 Summary'!A181,Jan!$H$2:$H$1000)</f>
        <v>0</v>
      </c>
      <c r="C181" s="5">
        <f>SUMIF(Feb!$G$2:$G$1000,'2024 Summary'!A181,Feb!$H$2:$H$1000)</f>
        <v>0</v>
      </c>
      <c r="D181" s="5">
        <f>SUMIF(Mar!$G$2:$G$1000,'2024 Summary'!A181,Mar!$H$2:$H$1000)</f>
        <v>0</v>
      </c>
      <c r="E181" s="5">
        <f>SUMIF(Apr!$G$2:$G$1000,'2024 Summary'!A181,Apr!$H$2:$H$1000)</f>
        <v>0</v>
      </c>
      <c r="F181" s="5">
        <f>SUMIF(May!$G$2:$G$1000,'2024 Summary'!A181,May!$H$2:$H$1000)</f>
        <v>0</v>
      </c>
      <c r="G181" s="5">
        <f>SUMIF(Jun!$G$2:$G$1000,'2024 Summary'!A181,Jun!$H$2:$H$1000)</f>
        <v>0</v>
      </c>
      <c r="H181" s="5">
        <f>SUMIF(Jul!$G$2:$G$1000,'2024 Summary'!A181,Jul!$H$2:$H$1000)</f>
        <v>0</v>
      </c>
      <c r="I181" s="5">
        <f>SUMIF(Aug!$G$2:$G$1000,'2024 Summary'!A181,Aug!$H$2:$H$1000)</f>
        <v>0</v>
      </c>
      <c r="J181" s="5">
        <f>SUMIF(Sep!$G$2:$G$1000,'2024 Summary'!A181,Sep!$H$2:$H$1000)</f>
        <v>0</v>
      </c>
      <c r="K181" s="5">
        <f>SUMIF(Oct!$G$2:$G$1000,'2024 Summary'!A181,Oct!$H$2:$H$1000)</f>
        <v>0</v>
      </c>
      <c r="L181" s="5">
        <f>SUMIF(Nov!$G$2:$G$1000,'2024 Summary'!A181,Nov!$H$2:$H$1000)</f>
        <v>0</v>
      </c>
      <c r="M181" s="5">
        <f>SUMIF(Dec!$G$2:$G$1000,'2024 Summary'!A181,Dec!$H$2:$H$1000)</f>
        <v>0</v>
      </c>
      <c r="AA181" s="13">
        <f>Feb!G83</f>
        <v>0</v>
      </c>
    </row>
    <row r="182" spans="2:27" x14ac:dyDescent="0.25">
      <c r="B182" s="5">
        <f>SUMIF(Jan!$G$2:$G$1000,'2024 Summary'!A182,Jan!$H$2:$H$1000)</f>
        <v>0</v>
      </c>
      <c r="C182" s="5">
        <f>SUMIF(Feb!$G$2:$G$1000,'2024 Summary'!A182,Feb!$H$2:$H$1000)</f>
        <v>0</v>
      </c>
      <c r="D182" s="5">
        <f>SUMIF(Mar!$G$2:$G$1000,'2024 Summary'!A182,Mar!$H$2:$H$1000)</f>
        <v>0</v>
      </c>
      <c r="E182" s="5">
        <f>SUMIF(Apr!$G$2:$G$1000,'2024 Summary'!A182,Apr!$H$2:$H$1000)</f>
        <v>0</v>
      </c>
      <c r="F182" s="5">
        <f>SUMIF(May!$G$2:$G$1000,'2024 Summary'!A182,May!$H$2:$H$1000)</f>
        <v>0</v>
      </c>
      <c r="G182" s="5">
        <f>SUMIF(Jun!$G$2:$G$1000,'2024 Summary'!A182,Jun!$H$2:$H$1000)</f>
        <v>0</v>
      </c>
      <c r="H182" s="5">
        <f>SUMIF(Jul!$G$2:$G$1000,'2024 Summary'!A182,Jul!$H$2:$H$1000)</f>
        <v>0</v>
      </c>
      <c r="I182" s="5">
        <f>SUMIF(Aug!$G$2:$G$1000,'2024 Summary'!A182,Aug!$H$2:$H$1000)</f>
        <v>0</v>
      </c>
      <c r="J182" s="5">
        <f>SUMIF(Sep!$G$2:$G$1000,'2024 Summary'!A182,Sep!$H$2:$H$1000)</f>
        <v>0</v>
      </c>
      <c r="K182" s="5">
        <f>SUMIF(Oct!$G$2:$G$1000,'2024 Summary'!A182,Oct!$H$2:$H$1000)</f>
        <v>0</v>
      </c>
      <c r="L182" s="5">
        <f>SUMIF(Nov!$G$2:$G$1000,'2024 Summary'!A182,Nov!$H$2:$H$1000)</f>
        <v>0</v>
      </c>
      <c r="M182" s="5">
        <f>SUMIF(Dec!$G$2:$G$1000,'2024 Summary'!A182,Dec!$H$2:$H$1000)</f>
        <v>0</v>
      </c>
      <c r="AA182" s="13">
        <f>Feb!G84</f>
        <v>0</v>
      </c>
    </row>
    <row r="183" spans="2:27" x14ac:dyDescent="0.25">
      <c r="B183" s="5">
        <f>SUMIF(Jan!$G$2:$G$1000,'2024 Summary'!A183,Jan!$H$2:$H$1000)</f>
        <v>0</v>
      </c>
      <c r="C183" s="5">
        <f>SUMIF(Feb!$G$2:$G$1000,'2024 Summary'!A183,Feb!$H$2:$H$1000)</f>
        <v>0</v>
      </c>
      <c r="D183" s="5">
        <f>SUMIF(Mar!$G$2:$G$1000,'2024 Summary'!A183,Mar!$H$2:$H$1000)</f>
        <v>0</v>
      </c>
      <c r="E183" s="5">
        <f>SUMIF(Apr!$G$2:$G$1000,'2024 Summary'!A183,Apr!$H$2:$H$1000)</f>
        <v>0</v>
      </c>
      <c r="F183" s="5">
        <f>SUMIF(May!$G$2:$G$1000,'2024 Summary'!A183,May!$H$2:$H$1000)</f>
        <v>0</v>
      </c>
      <c r="G183" s="5">
        <f>SUMIF(Jun!$G$2:$G$1000,'2024 Summary'!A183,Jun!$H$2:$H$1000)</f>
        <v>0</v>
      </c>
      <c r="H183" s="5">
        <f>SUMIF(Jul!$G$2:$G$1000,'2024 Summary'!A183,Jul!$H$2:$H$1000)</f>
        <v>0</v>
      </c>
      <c r="I183" s="5">
        <f>SUMIF(Aug!$G$2:$G$1000,'2024 Summary'!A183,Aug!$H$2:$H$1000)</f>
        <v>0</v>
      </c>
      <c r="J183" s="5">
        <f>SUMIF(Sep!$G$2:$G$1000,'2024 Summary'!A183,Sep!$H$2:$H$1000)</f>
        <v>0</v>
      </c>
      <c r="K183" s="5">
        <f>SUMIF(Oct!$G$2:$G$1000,'2024 Summary'!A183,Oct!$H$2:$H$1000)</f>
        <v>0</v>
      </c>
      <c r="L183" s="5">
        <f>SUMIF(Nov!$G$2:$G$1000,'2024 Summary'!A183,Nov!$H$2:$H$1000)</f>
        <v>0</v>
      </c>
      <c r="M183" s="5">
        <f>SUMIF(Dec!$G$2:$G$1000,'2024 Summary'!A183,Dec!$H$2:$H$1000)</f>
        <v>0</v>
      </c>
      <c r="AA183" s="13">
        <f>Feb!G85</f>
        <v>0</v>
      </c>
    </row>
    <row r="184" spans="2:27" x14ac:dyDescent="0.25">
      <c r="B184" s="5">
        <f>SUMIF(Jan!$G$2:$G$1000,'2024 Summary'!A184,Jan!$H$2:$H$1000)</f>
        <v>0</v>
      </c>
      <c r="C184" s="5">
        <f>SUMIF(Feb!$G$2:$G$1000,'2024 Summary'!A184,Feb!$H$2:$H$1000)</f>
        <v>0</v>
      </c>
      <c r="D184" s="5">
        <f>SUMIF(Mar!$G$2:$G$1000,'2024 Summary'!A184,Mar!$H$2:$H$1000)</f>
        <v>0</v>
      </c>
      <c r="E184" s="5">
        <f>SUMIF(Apr!$G$2:$G$1000,'2024 Summary'!A184,Apr!$H$2:$H$1000)</f>
        <v>0</v>
      </c>
      <c r="F184" s="5">
        <f>SUMIF(May!$G$2:$G$1000,'2024 Summary'!A184,May!$H$2:$H$1000)</f>
        <v>0</v>
      </c>
      <c r="G184" s="5">
        <f>SUMIF(Jun!$G$2:$G$1000,'2024 Summary'!A184,Jun!$H$2:$H$1000)</f>
        <v>0</v>
      </c>
      <c r="H184" s="5">
        <f>SUMIF(Jul!$G$2:$G$1000,'2024 Summary'!A184,Jul!$H$2:$H$1000)</f>
        <v>0</v>
      </c>
      <c r="I184" s="5">
        <f>SUMIF(Aug!$G$2:$G$1000,'2024 Summary'!A184,Aug!$H$2:$H$1000)</f>
        <v>0</v>
      </c>
      <c r="J184" s="5">
        <f>SUMIF(Sep!$G$2:$G$1000,'2024 Summary'!A184,Sep!$H$2:$H$1000)</f>
        <v>0</v>
      </c>
      <c r="K184" s="5">
        <f>SUMIF(Oct!$G$2:$G$1000,'2024 Summary'!A184,Oct!$H$2:$H$1000)</f>
        <v>0</v>
      </c>
      <c r="L184" s="5">
        <f>SUMIF(Nov!$G$2:$G$1000,'2024 Summary'!A184,Nov!$H$2:$H$1000)</f>
        <v>0</v>
      </c>
      <c r="M184" s="5">
        <f>SUMIF(Dec!$G$2:$G$1000,'2024 Summary'!A184,Dec!$H$2:$H$1000)</f>
        <v>0</v>
      </c>
      <c r="AA184" s="13">
        <f>Feb!G86</f>
        <v>0</v>
      </c>
    </row>
    <row r="185" spans="2:27" x14ac:dyDescent="0.25">
      <c r="B185" s="5">
        <f>SUMIF(Jan!$G$2:$G$1000,'2024 Summary'!A185,Jan!$H$2:$H$1000)</f>
        <v>0</v>
      </c>
      <c r="C185" s="5">
        <f>SUMIF(Feb!$G$2:$G$1000,'2024 Summary'!A185,Feb!$H$2:$H$1000)</f>
        <v>0</v>
      </c>
      <c r="D185" s="5">
        <f>SUMIF(Mar!$G$2:$G$1000,'2024 Summary'!A185,Mar!$H$2:$H$1000)</f>
        <v>0</v>
      </c>
      <c r="E185" s="5">
        <f>SUMIF(Apr!$G$2:$G$1000,'2024 Summary'!A185,Apr!$H$2:$H$1000)</f>
        <v>0</v>
      </c>
      <c r="F185" s="5">
        <f>SUMIF(May!$G$2:$G$1000,'2024 Summary'!A185,May!$H$2:$H$1000)</f>
        <v>0</v>
      </c>
      <c r="G185" s="5">
        <f>SUMIF(Jun!$G$2:$G$1000,'2024 Summary'!A185,Jun!$H$2:$H$1000)</f>
        <v>0</v>
      </c>
      <c r="H185" s="5">
        <f>SUMIF(Jul!$G$2:$G$1000,'2024 Summary'!A185,Jul!$H$2:$H$1000)</f>
        <v>0</v>
      </c>
      <c r="I185" s="5">
        <f>SUMIF(Aug!$G$2:$G$1000,'2024 Summary'!A185,Aug!$H$2:$H$1000)</f>
        <v>0</v>
      </c>
      <c r="J185" s="5">
        <f>SUMIF(Sep!$G$2:$G$1000,'2024 Summary'!A185,Sep!$H$2:$H$1000)</f>
        <v>0</v>
      </c>
      <c r="K185" s="5">
        <f>SUMIF(Oct!$G$2:$G$1000,'2024 Summary'!A185,Oct!$H$2:$H$1000)</f>
        <v>0</v>
      </c>
      <c r="L185" s="5">
        <f>SUMIF(Nov!$G$2:$G$1000,'2024 Summary'!A185,Nov!$H$2:$H$1000)</f>
        <v>0</v>
      </c>
      <c r="M185" s="5">
        <f>SUMIF(Dec!$G$2:$G$1000,'2024 Summary'!A185,Dec!$H$2:$H$1000)</f>
        <v>0</v>
      </c>
      <c r="AA185" s="13">
        <f>Feb!G87</f>
        <v>0</v>
      </c>
    </row>
    <row r="186" spans="2:27" x14ac:dyDescent="0.25">
      <c r="B186" s="5">
        <f>SUMIF(Jan!$G$2:$G$1000,'2024 Summary'!A186,Jan!$H$2:$H$1000)</f>
        <v>0</v>
      </c>
      <c r="C186" s="5">
        <f>SUMIF(Feb!$G$2:$G$1000,'2024 Summary'!A186,Feb!$H$2:$H$1000)</f>
        <v>0</v>
      </c>
      <c r="D186" s="5">
        <f>SUMIF(Mar!$G$2:$G$1000,'2024 Summary'!A186,Mar!$H$2:$H$1000)</f>
        <v>0</v>
      </c>
      <c r="E186" s="5">
        <f>SUMIF(Apr!$G$2:$G$1000,'2024 Summary'!A186,Apr!$H$2:$H$1000)</f>
        <v>0</v>
      </c>
      <c r="F186" s="5">
        <f>SUMIF(May!$G$2:$G$1000,'2024 Summary'!A186,May!$H$2:$H$1000)</f>
        <v>0</v>
      </c>
      <c r="G186" s="5">
        <f>SUMIF(Jun!$G$2:$G$1000,'2024 Summary'!A186,Jun!$H$2:$H$1000)</f>
        <v>0</v>
      </c>
      <c r="H186" s="5">
        <f>SUMIF(Jul!$G$2:$G$1000,'2024 Summary'!A186,Jul!$H$2:$H$1000)</f>
        <v>0</v>
      </c>
      <c r="I186" s="5">
        <f>SUMIF(Aug!$G$2:$G$1000,'2024 Summary'!A186,Aug!$H$2:$H$1000)</f>
        <v>0</v>
      </c>
      <c r="J186" s="5">
        <f>SUMIF(Sep!$G$2:$G$1000,'2024 Summary'!A186,Sep!$H$2:$H$1000)</f>
        <v>0</v>
      </c>
      <c r="K186" s="5">
        <f>SUMIF(Oct!$G$2:$G$1000,'2024 Summary'!A186,Oct!$H$2:$H$1000)</f>
        <v>0</v>
      </c>
      <c r="L186" s="5">
        <f>SUMIF(Nov!$G$2:$G$1000,'2024 Summary'!A186,Nov!$H$2:$H$1000)</f>
        <v>0</v>
      </c>
      <c r="M186" s="5">
        <f>SUMIF(Dec!$G$2:$G$1000,'2024 Summary'!A186,Dec!$H$2:$H$1000)</f>
        <v>0</v>
      </c>
      <c r="AA186" s="13">
        <f>Feb!G88</f>
        <v>0</v>
      </c>
    </row>
    <row r="187" spans="2:27" x14ac:dyDescent="0.25">
      <c r="B187" s="5">
        <f>SUMIF(Jan!$G$2:$G$1000,'2024 Summary'!A187,Jan!$H$2:$H$1000)</f>
        <v>0</v>
      </c>
      <c r="C187" s="5">
        <f>SUMIF(Feb!$G$2:$G$1000,'2024 Summary'!A187,Feb!$H$2:$H$1000)</f>
        <v>0</v>
      </c>
      <c r="D187" s="5">
        <f>SUMIF(Mar!$G$2:$G$1000,'2024 Summary'!A187,Mar!$H$2:$H$1000)</f>
        <v>0</v>
      </c>
      <c r="E187" s="5">
        <f>SUMIF(Apr!$G$2:$G$1000,'2024 Summary'!A187,Apr!$H$2:$H$1000)</f>
        <v>0</v>
      </c>
      <c r="F187" s="5">
        <f>SUMIF(May!$G$2:$G$1000,'2024 Summary'!A187,May!$H$2:$H$1000)</f>
        <v>0</v>
      </c>
      <c r="G187" s="5">
        <f>SUMIF(Jun!$G$2:$G$1000,'2024 Summary'!A187,Jun!$H$2:$H$1000)</f>
        <v>0</v>
      </c>
      <c r="H187" s="5">
        <f>SUMIF(Jul!$G$2:$G$1000,'2024 Summary'!A187,Jul!$H$2:$H$1000)</f>
        <v>0</v>
      </c>
      <c r="I187" s="5">
        <f>SUMIF(Aug!$G$2:$G$1000,'2024 Summary'!A187,Aug!$H$2:$H$1000)</f>
        <v>0</v>
      </c>
      <c r="J187" s="5">
        <f>SUMIF(Sep!$G$2:$G$1000,'2024 Summary'!A187,Sep!$H$2:$H$1000)</f>
        <v>0</v>
      </c>
      <c r="K187" s="5">
        <f>SUMIF(Oct!$G$2:$G$1000,'2024 Summary'!A187,Oct!$H$2:$H$1000)</f>
        <v>0</v>
      </c>
      <c r="L187" s="5">
        <f>SUMIF(Nov!$G$2:$G$1000,'2024 Summary'!A187,Nov!$H$2:$H$1000)</f>
        <v>0</v>
      </c>
      <c r="M187" s="5">
        <f>SUMIF(Dec!$G$2:$G$1000,'2024 Summary'!A187,Dec!$H$2:$H$1000)</f>
        <v>0</v>
      </c>
      <c r="AA187" s="13">
        <f>Feb!G89</f>
        <v>0</v>
      </c>
    </row>
    <row r="188" spans="2:27" x14ac:dyDescent="0.25">
      <c r="B188" s="5">
        <f>SUMIF(Jan!$G$2:$G$1000,'2024 Summary'!A188,Jan!$H$2:$H$1000)</f>
        <v>0</v>
      </c>
      <c r="C188" s="5">
        <f>SUMIF(Feb!$G$2:$G$1000,'2024 Summary'!A188,Feb!$H$2:$H$1000)</f>
        <v>0</v>
      </c>
      <c r="D188" s="5">
        <f>SUMIF(Mar!$G$2:$G$1000,'2024 Summary'!A188,Mar!$H$2:$H$1000)</f>
        <v>0</v>
      </c>
      <c r="E188" s="5">
        <f>SUMIF(Apr!$G$2:$G$1000,'2024 Summary'!A188,Apr!$H$2:$H$1000)</f>
        <v>0</v>
      </c>
      <c r="F188" s="5">
        <f>SUMIF(May!$G$2:$G$1000,'2024 Summary'!A188,May!$H$2:$H$1000)</f>
        <v>0</v>
      </c>
      <c r="G188" s="5">
        <f>SUMIF(Jun!$G$2:$G$1000,'2024 Summary'!A188,Jun!$H$2:$H$1000)</f>
        <v>0</v>
      </c>
      <c r="H188" s="5">
        <f>SUMIF(Jul!$G$2:$G$1000,'2024 Summary'!A188,Jul!$H$2:$H$1000)</f>
        <v>0</v>
      </c>
      <c r="I188" s="5">
        <f>SUMIF(Aug!$G$2:$G$1000,'2024 Summary'!A188,Aug!$H$2:$H$1000)</f>
        <v>0</v>
      </c>
      <c r="J188" s="5">
        <f>SUMIF(Sep!$G$2:$G$1000,'2024 Summary'!A188,Sep!$H$2:$H$1000)</f>
        <v>0</v>
      </c>
      <c r="K188" s="5">
        <f>SUMIF(Oct!$G$2:$G$1000,'2024 Summary'!A188,Oct!$H$2:$H$1000)</f>
        <v>0</v>
      </c>
      <c r="L188" s="5">
        <f>SUMIF(Nov!$G$2:$G$1000,'2024 Summary'!A188,Nov!$H$2:$H$1000)</f>
        <v>0</v>
      </c>
      <c r="M188" s="5">
        <f>SUMIF(Dec!$G$2:$G$1000,'2024 Summary'!A188,Dec!$H$2:$H$1000)</f>
        <v>0</v>
      </c>
      <c r="AA188" s="13">
        <f>Feb!G90</f>
        <v>0</v>
      </c>
    </row>
    <row r="189" spans="2:27" x14ac:dyDescent="0.25">
      <c r="B189" s="5">
        <f>SUMIF(Jan!$G$2:$G$1000,'2024 Summary'!A189,Jan!$H$2:$H$1000)</f>
        <v>0</v>
      </c>
      <c r="C189" s="5">
        <f>SUMIF(Feb!$G$2:$G$1000,'2024 Summary'!A189,Feb!$H$2:$H$1000)</f>
        <v>0</v>
      </c>
      <c r="D189" s="5">
        <f>SUMIF(Mar!$G$2:$G$1000,'2024 Summary'!A189,Mar!$H$2:$H$1000)</f>
        <v>0</v>
      </c>
      <c r="E189" s="5">
        <f>SUMIF(Apr!$G$2:$G$1000,'2024 Summary'!A189,Apr!$H$2:$H$1000)</f>
        <v>0</v>
      </c>
      <c r="F189" s="5">
        <f>SUMIF(May!$G$2:$G$1000,'2024 Summary'!A189,May!$H$2:$H$1000)</f>
        <v>0</v>
      </c>
      <c r="G189" s="5">
        <f>SUMIF(Jun!$G$2:$G$1000,'2024 Summary'!A189,Jun!$H$2:$H$1000)</f>
        <v>0</v>
      </c>
      <c r="H189" s="5">
        <f>SUMIF(Jul!$G$2:$G$1000,'2024 Summary'!A189,Jul!$H$2:$H$1000)</f>
        <v>0</v>
      </c>
      <c r="I189" s="5">
        <f>SUMIF(Aug!$G$2:$G$1000,'2024 Summary'!A189,Aug!$H$2:$H$1000)</f>
        <v>0</v>
      </c>
      <c r="J189" s="5">
        <f>SUMIF(Sep!$G$2:$G$1000,'2024 Summary'!A189,Sep!$H$2:$H$1000)</f>
        <v>0</v>
      </c>
      <c r="K189" s="5">
        <f>SUMIF(Oct!$G$2:$G$1000,'2024 Summary'!A189,Oct!$H$2:$H$1000)</f>
        <v>0</v>
      </c>
      <c r="L189" s="5">
        <f>SUMIF(Nov!$G$2:$G$1000,'2024 Summary'!A189,Nov!$H$2:$H$1000)</f>
        <v>0</v>
      </c>
      <c r="M189" s="5">
        <f>SUMIF(Dec!$G$2:$G$1000,'2024 Summary'!A189,Dec!$H$2:$H$1000)</f>
        <v>0</v>
      </c>
      <c r="AA189" s="13">
        <f>Feb!G91</f>
        <v>0</v>
      </c>
    </row>
    <row r="190" spans="2:27" x14ac:dyDescent="0.25">
      <c r="B190" s="5">
        <f>SUMIF(Jan!$G$2:$G$1000,'2024 Summary'!A190,Jan!$H$2:$H$1000)</f>
        <v>0</v>
      </c>
      <c r="C190" s="5">
        <f>SUMIF(Feb!$G$2:$G$1000,'2024 Summary'!A190,Feb!$H$2:$H$1000)</f>
        <v>0</v>
      </c>
      <c r="D190" s="5">
        <f>SUMIF(Mar!$G$2:$G$1000,'2024 Summary'!A190,Mar!$H$2:$H$1000)</f>
        <v>0</v>
      </c>
      <c r="E190" s="5">
        <f>SUMIF(Apr!$G$2:$G$1000,'2024 Summary'!A190,Apr!$H$2:$H$1000)</f>
        <v>0</v>
      </c>
      <c r="F190" s="5">
        <f>SUMIF(May!$G$2:$G$1000,'2024 Summary'!A190,May!$H$2:$H$1000)</f>
        <v>0</v>
      </c>
      <c r="G190" s="5">
        <f>SUMIF(Jun!$G$2:$G$1000,'2024 Summary'!A190,Jun!$H$2:$H$1000)</f>
        <v>0</v>
      </c>
      <c r="H190" s="5">
        <f>SUMIF(Jul!$G$2:$G$1000,'2024 Summary'!A190,Jul!$H$2:$H$1000)</f>
        <v>0</v>
      </c>
      <c r="I190" s="5">
        <f>SUMIF(Aug!$G$2:$G$1000,'2024 Summary'!A190,Aug!$H$2:$H$1000)</f>
        <v>0</v>
      </c>
      <c r="J190" s="5">
        <f>SUMIF(Sep!$G$2:$G$1000,'2024 Summary'!A190,Sep!$H$2:$H$1000)</f>
        <v>0</v>
      </c>
      <c r="K190" s="5">
        <f>SUMIF(Oct!$G$2:$G$1000,'2024 Summary'!A190,Oct!$H$2:$H$1000)</f>
        <v>0</v>
      </c>
      <c r="L190" s="5">
        <f>SUMIF(Nov!$G$2:$G$1000,'2024 Summary'!A190,Nov!$H$2:$H$1000)</f>
        <v>0</v>
      </c>
      <c r="M190" s="5">
        <f>SUMIF(Dec!$G$2:$G$1000,'2024 Summary'!A190,Dec!$H$2:$H$1000)</f>
        <v>0</v>
      </c>
      <c r="AA190" s="13">
        <f>Feb!G92</f>
        <v>0</v>
      </c>
    </row>
    <row r="191" spans="2:27" x14ac:dyDescent="0.25">
      <c r="B191" s="5">
        <f>SUMIF(Jan!$G$2:$G$1000,'2024 Summary'!A191,Jan!$H$2:$H$1000)</f>
        <v>0</v>
      </c>
      <c r="C191" s="5">
        <f>SUMIF(Feb!$G$2:$G$1000,'2024 Summary'!A191,Feb!$H$2:$H$1000)</f>
        <v>0</v>
      </c>
      <c r="D191" s="5">
        <f>SUMIF(Mar!$G$2:$G$1000,'2024 Summary'!A191,Mar!$H$2:$H$1000)</f>
        <v>0</v>
      </c>
      <c r="E191" s="5">
        <f>SUMIF(Apr!$G$2:$G$1000,'2024 Summary'!A191,Apr!$H$2:$H$1000)</f>
        <v>0</v>
      </c>
      <c r="F191" s="5">
        <f>SUMIF(May!$G$2:$G$1000,'2024 Summary'!A191,May!$H$2:$H$1000)</f>
        <v>0</v>
      </c>
      <c r="G191" s="5">
        <f>SUMIF(Jun!$G$2:$G$1000,'2024 Summary'!A191,Jun!$H$2:$H$1000)</f>
        <v>0</v>
      </c>
      <c r="H191" s="5">
        <f>SUMIF(Jul!$G$2:$G$1000,'2024 Summary'!A191,Jul!$H$2:$H$1000)</f>
        <v>0</v>
      </c>
      <c r="I191" s="5">
        <f>SUMIF(Aug!$G$2:$G$1000,'2024 Summary'!A191,Aug!$H$2:$H$1000)</f>
        <v>0</v>
      </c>
      <c r="J191" s="5">
        <f>SUMIF(Sep!$G$2:$G$1000,'2024 Summary'!A191,Sep!$H$2:$H$1000)</f>
        <v>0</v>
      </c>
      <c r="K191" s="5">
        <f>SUMIF(Oct!$G$2:$G$1000,'2024 Summary'!A191,Oct!$H$2:$H$1000)</f>
        <v>0</v>
      </c>
      <c r="L191" s="5">
        <f>SUMIF(Nov!$G$2:$G$1000,'2024 Summary'!A191,Nov!$H$2:$H$1000)</f>
        <v>0</v>
      </c>
      <c r="M191" s="5">
        <f>SUMIF(Dec!$G$2:$G$1000,'2024 Summary'!A191,Dec!$H$2:$H$1000)</f>
        <v>0</v>
      </c>
      <c r="AA191" s="13">
        <f>Feb!G93</f>
        <v>0</v>
      </c>
    </row>
    <row r="192" spans="2:27" x14ac:dyDescent="0.25">
      <c r="B192" s="5">
        <f>SUMIF(Jan!$G$2:$G$1000,'2024 Summary'!A192,Jan!$H$2:$H$1000)</f>
        <v>0</v>
      </c>
      <c r="C192" s="5">
        <f>SUMIF(Feb!$G$2:$G$1000,'2024 Summary'!A192,Feb!$H$2:$H$1000)</f>
        <v>0</v>
      </c>
      <c r="D192" s="5">
        <f>SUMIF(Mar!$G$2:$G$1000,'2024 Summary'!A192,Mar!$H$2:$H$1000)</f>
        <v>0</v>
      </c>
      <c r="E192" s="5">
        <f>SUMIF(Apr!$G$2:$G$1000,'2024 Summary'!A192,Apr!$H$2:$H$1000)</f>
        <v>0</v>
      </c>
      <c r="F192" s="5">
        <f>SUMIF(May!$G$2:$G$1000,'2024 Summary'!A192,May!$H$2:$H$1000)</f>
        <v>0</v>
      </c>
      <c r="G192" s="5">
        <f>SUMIF(Jun!$G$2:$G$1000,'2024 Summary'!A192,Jun!$H$2:$H$1000)</f>
        <v>0</v>
      </c>
      <c r="H192" s="5">
        <f>SUMIF(Jul!$G$2:$G$1000,'2024 Summary'!A192,Jul!$H$2:$H$1000)</f>
        <v>0</v>
      </c>
      <c r="I192" s="5">
        <f>SUMIF(Aug!$G$2:$G$1000,'2024 Summary'!A192,Aug!$H$2:$H$1000)</f>
        <v>0</v>
      </c>
      <c r="J192" s="5">
        <f>SUMIF(Sep!$G$2:$G$1000,'2024 Summary'!A192,Sep!$H$2:$H$1000)</f>
        <v>0</v>
      </c>
      <c r="K192" s="5">
        <f>SUMIF(Oct!$G$2:$G$1000,'2024 Summary'!A192,Oct!$H$2:$H$1000)</f>
        <v>0</v>
      </c>
      <c r="L192" s="5">
        <f>SUMIF(Nov!$G$2:$G$1000,'2024 Summary'!A192,Nov!$H$2:$H$1000)</f>
        <v>0</v>
      </c>
      <c r="M192" s="5">
        <f>SUMIF(Dec!$G$2:$G$1000,'2024 Summary'!A192,Dec!$H$2:$H$1000)</f>
        <v>0</v>
      </c>
      <c r="AA192" s="13">
        <f>Feb!G94</f>
        <v>0</v>
      </c>
    </row>
    <row r="193" spans="2:27" x14ac:dyDescent="0.25">
      <c r="B193" s="5">
        <f>SUMIF(Jan!$G$2:$G$1000,'2024 Summary'!A193,Jan!$H$2:$H$1000)</f>
        <v>0</v>
      </c>
      <c r="C193" s="5">
        <f>SUMIF(Feb!$G$2:$G$1000,'2024 Summary'!A193,Feb!$H$2:$H$1000)</f>
        <v>0</v>
      </c>
      <c r="D193" s="5">
        <f>SUMIF(Mar!$G$2:$G$1000,'2024 Summary'!A193,Mar!$H$2:$H$1000)</f>
        <v>0</v>
      </c>
      <c r="E193" s="5">
        <f>SUMIF(Apr!$G$2:$G$1000,'2024 Summary'!A193,Apr!$H$2:$H$1000)</f>
        <v>0</v>
      </c>
      <c r="F193" s="5">
        <f>SUMIF(May!$G$2:$G$1000,'2024 Summary'!A193,May!$H$2:$H$1000)</f>
        <v>0</v>
      </c>
      <c r="G193" s="5">
        <f>SUMIF(Jun!$G$2:$G$1000,'2024 Summary'!A193,Jun!$H$2:$H$1000)</f>
        <v>0</v>
      </c>
      <c r="H193" s="5">
        <f>SUMIF(Jul!$G$2:$G$1000,'2024 Summary'!A193,Jul!$H$2:$H$1000)</f>
        <v>0</v>
      </c>
      <c r="I193" s="5">
        <f>SUMIF(Aug!$G$2:$G$1000,'2024 Summary'!A193,Aug!$H$2:$H$1000)</f>
        <v>0</v>
      </c>
      <c r="J193" s="5">
        <f>SUMIF(Sep!$G$2:$G$1000,'2024 Summary'!A193,Sep!$H$2:$H$1000)</f>
        <v>0</v>
      </c>
      <c r="K193" s="5">
        <f>SUMIF(Oct!$G$2:$G$1000,'2024 Summary'!A193,Oct!$H$2:$H$1000)</f>
        <v>0</v>
      </c>
      <c r="L193" s="5">
        <f>SUMIF(Nov!$G$2:$G$1000,'2024 Summary'!A193,Nov!$H$2:$H$1000)</f>
        <v>0</v>
      </c>
      <c r="M193" s="5">
        <f>SUMIF(Dec!$G$2:$G$1000,'2024 Summary'!A193,Dec!$H$2:$H$1000)</f>
        <v>0</v>
      </c>
      <c r="AA193" s="13">
        <f>Feb!G95</f>
        <v>0</v>
      </c>
    </row>
    <row r="194" spans="2:27" x14ac:dyDescent="0.25">
      <c r="B194" s="5">
        <f>SUMIF(Jan!$G$2:$G$1000,'2024 Summary'!A194,Jan!$H$2:$H$1000)</f>
        <v>0</v>
      </c>
      <c r="C194" s="5">
        <f>SUMIF(Feb!$G$2:$G$1000,'2024 Summary'!A194,Feb!$H$2:$H$1000)</f>
        <v>0</v>
      </c>
      <c r="D194" s="5">
        <f>SUMIF(Mar!$G$2:$G$1000,'2024 Summary'!A194,Mar!$H$2:$H$1000)</f>
        <v>0</v>
      </c>
      <c r="E194" s="5">
        <f>SUMIF(Apr!$G$2:$G$1000,'2024 Summary'!A194,Apr!$H$2:$H$1000)</f>
        <v>0</v>
      </c>
      <c r="F194" s="5">
        <f>SUMIF(May!$G$2:$G$1000,'2024 Summary'!A194,May!$H$2:$H$1000)</f>
        <v>0</v>
      </c>
      <c r="G194" s="5">
        <f>SUMIF(Jun!$G$2:$G$1000,'2024 Summary'!A194,Jun!$H$2:$H$1000)</f>
        <v>0</v>
      </c>
      <c r="H194" s="5">
        <f>SUMIF(Jul!$G$2:$G$1000,'2024 Summary'!A194,Jul!$H$2:$H$1000)</f>
        <v>0</v>
      </c>
      <c r="I194" s="5">
        <f>SUMIF(Aug!$G$2:$G$1000,'2024 Summary'!A194,Aug!$H$2:$H$1000)</f>
        <v>0</v>
      </c>
      <c r="J194" s="5">
        <f>SUMIF(Sep!$G$2:$G$1000,'2024 Summary'!A194,Sep!$H$2:$H$1000)</f>
        <v>0</v>
      </c>
      <c r="K194" s="5">
        <f>SUMIF(Oct!$G$2:$G$1000,'2024 Summary'!A194,Oct!$H$2:$H$1000)</f>
        <v>0</v>
      </c>
      <c r="L194" s="5">
        <f>SUMIF(Nov!$G$2:$G$1000,'2024 Summary'!A194,Nov!$H$2:$H$1000)</f>
        <v>0</v>
      </c>
      <c r="M194" s="5">
        <f>SUMIF(Dec!$G$2:$G$1000,'2024 Summary'!A194,Dec!$H$2:$H$1000)</f>
        <v>0</v>
      </c>
      <c r="AA194" s="13">
        <f>Feb!G96</f>
        <v>0</v>
      </c>
    </row>
    <row r="195" spans="2:27" x14ac:dyDescent="0.25">
      <c r="B195" s="5">
        <f>SUMIF(Jan!$G$2:$G$1000,'2024 Summary'!A195,Jan!$H$2:$H$1000)</f>
        <v>0</v>
      </c>
      <c r="C195" s="5">
        <f>SUMIF(Feb!$G$2:$G$1000,'2024 Summary'!A195,Feb!$H$2:$H$1000)</f>
        <v>0</v>
      </c>
      <c r="D195" s="5">
        <f>SUMIF(Mar!$G$2:$G$1000,'2024 Summary'!A195,Mar!$H$2:$H$1000)</f>
        <v>0</v>
      </c>
      <c r="E195" s="5">
        <f>SUMIF(Apr!$G$2:$G$1000,'2024 Summary'!A195,Apr!$H$2:$H$1000)</f>
        <v>0</v>
      </c>
      <c r="F195" s="5">
        <f>SUMIF(May!$G$2:$G$1000,'2024 Summary'!A195,May!$H$2:$H$1000)</f>
        <v>0</v>
      </c>
      <c r="G195" s="5">
        <f>SUMIF(Jun!$G$2:$G$1000,'2024 Summary'!A195,Jun!$H$2:$H$1000)</f>
        <v>0</v>
      </c>
      <c r="H195" s="5">
        <f>SUMIF(Jul!$G$2:$G$1000,'2024 Summary'!A195,Jul!$H$2:$H$1000)</f>
        <v>0</v>
      </c>
      <c r="I195" s="5">
        <f>SUMIF(Aug!$G$2:$G$1000,'2024 Summary'!A195,Aug!$H$2:$H$1000)</f>
        <v>0</v>
      </c>
      <c r="J195" s="5">
        <f>SUMIF(Sep!$G$2:$G$1000,'2024 Summary'!A195,Sep!$H$2:$H$1000)</f>
        <v>0</v>
      </c>
      <c r="K195" s="5">
        <f>SUMIF(Oct!$G$2:$G$1000,'2024 Summary'!A195,Oct!$H$2:$H$1000)</f>
        <v>0</v>
      </c>
      <c r="L195" s="5">
        <f>SUMIF(Nov!$G$2:$G$1000,'2024 Summary'!A195,Nov!$H$2:$H$1000)</f>
        <v>0</v>
      </c>
      <c r="M195" s="5">
        <f>SUMIF(Dec!$G$2:$G$1000,'2024 Summary'!A195,Dec!$H$2:$H$1000)</f>
        <v>0</v>
      </c>
      <c r="AA195" s="13">
        <f>Feb!G97</f>
        <v>0</v>
      </c>
    </row>
    <row r="196" spans="2:27" x14ac:dyDescent="0.25">
      <c r="B196" s="5">
        <f>SUMIF(Jan!$G$2:$G$1000,'2024 Summary'!A196,Jan!$H$2:$H$1000)</f>
        <v>0</v>
      </c>
      <c r="C196" s="5">
        <f>SUMIF(Feb!$G$2:$G$1000,'2024 Summary'!A196,Feb!$H$2:$H$1000)</f>
        <v>0</v>
      </c>
      <c r="D196" s="5">
        <f>SUMIF(Mar!$G$2:$G$1000,'2024 Summary'!A196,Mar!$H$2:$H$1000)</f>
        <v>0</v>
      </c>
      <c r="E196" s="5">
        <f>SUMIF(Apr!$G$2:$G$1000,'2024 Summary'!A196,Apr!$H$2:$H$1000)</f>
        <v>0</v>
      </c>
      <c r="F196" s="5">
        <f>SUMIF(May!$G$2:$G$1000,'2024 Summary'!A196,May!$H$2:$H$1000)</f>
        <v>0</v>
      </c>
      <c r="G196" s="5">
        <f>SUMIF(Jun!$G$2:$G$1000,'2024 Summary'!A196,Jun!$H$2:$H$1000)</f>
        <v>0</v>
      </c>
      <c r="H196" s="5">
        <f>SUMIF(Jul!$G$2:$G$1000,'2024 Summary'!A196,Jul!$H$2:$H$1000)</f>
        <v>0</v>
      </c>
      <c r="I196" s="5">
        <f>SUMIF(Aug!$G$2:$G$1000,'2024 Summary'!A196,Aug!$H$2:$H$1000)</f>
        <v>0</v>
      </c>
      <c r="J196" s="5">
        <f>SUMIF(Sep!$G$2:$G$1000,'2024 Summary'!A196,Sep!$H$2:$H$1000)</f>
        <v>0</v>
      </c>
      <c r="K196" s="5">
        <f>SUMIF(Oct!$G$2:$G$1000,'2024 Summary'!A196,Oct!$H$2:$H$1000)</f>
        <v>0</v>
      </c>
      <c r="L196" s="5">
        <f>SUMIF(Nov!$G$2:$G$1000,'2024 Summary'!A196,Nov!$H$2:$H$1000)</f>
        <v>0</v>
      </c>
      <c r="M196" s="5">
        <f>SUMIF(Dec!$G$2:$G$1000,'2024 Summary'!A196,Dec!$H$2:$H$1000)</f>
        <v>0</v>
      </c>
      <c r="AA196" s="13">
        <f>Feb!G98</f>
        <v>0</v>
      </c>
    </row>
    <row r="197" spans="2:27" x14ac:dyDescent="0.25">
      <c r="B197" s="5">
        <f>SUMIF(Jan!$G$2:$G$1000,'2024 Summary'!A197,Jan!$H$2:$H$1000)</f>
        <v>0</v>
      </c>
      <c r="C197" s="5">
        <f>SUMIF(Feb!$G$2:$G$1000,'2024 Summary'!A197,Feb!$H$2:$H$1000)</f>
        <v>0</v>
      </c>
      <c r="D197" s="5">
        <f>SUMIF(Mar!$G$2:$G$1000,'2024 Summary'!A197,Mar!$H$2:$H$1000)</f>
        <v>0</v>
      </c>
      <c r="E197" s="5">
        <f>SUMIF(Apr!$G$2:$G$1000,'2024 Summary'!A197,Apr!$H$2:$H$1000)</f>
        <v>0</v>
      </c>
      <c r="F197" s="5">
        <f>SUMIF(May!$G$2:$G$1000,'2024 Summary'!A197,May!$H$2:$H$1000)</f>
        <v>0</v>
      </c>
      <c r="G197" s="5">
        <f>SUMIF(Jun!$G$2:$G$1000,'2024 Summary'!A197,Jun!$H$2:$H$1000)</f>
        <v>0</v>
      </c>
      <c r="H197" s="5">
        <f>SUMIF(Jul!$G$2:$G$1000,'2024 Summary'!A197,Jul!$H$2:$H$1000)</f>
        <v>0</v>
      </c>
      <c r="I197" s="5">
        <f>SUMIF(Aug!$G$2:$G$1000,'2024 Summary'!A197,Aug!$H$2:$H$1000)</f>
        <v>0</v>
      </c>
      <c r="J197" s="5">
        <f>SUMIF(Sep!$G$2:$G$1000,'2024 Summary'!A197,Sep!$H$2:$H$1000)</f>
        <v>0</v>
      </c>
      <c r="K197" s="5">
        <f>SUMIF(Oct!$G$2:$G$1000,'2024 Summary'!A197,Oct!$H$2:$H$1000)</f>
        <v>0</v>
      </c>
      <c r="L197" s="5">
        <f>SUMIF(Nov!$G$2:$G$1000,'2024 Summary'!A197,Nov!$H$2:$H$1000)</f>
        <v>0</v>
      </c>
      <c r="M197" s="5">
        <f>SUMIF(Dec!$G$2:$G$1000,'2024 Summary'!A197,Dec!$H$2:$H$1000)</f>
        <v>0</v>
      </c>
      <c r="AA197" s="13">
        <f>Feb!G99</f>
        <v>0</v>
      </c>
    </row>
    <row r="198" spans="2:27" x14ac:dyDescent="0.25">
      <c r="B198" s="5">
        <f>SUMIF(Jan!$G$2:$G$1000,'2024 Summary'!A198,Jan!$H$2:$H$1000)</f>
        <v>0</v>
      </c>
      <c r="C198" s="5">
        <f>SUMIF(Feb!$G$2:$G$1000,'2024 Summary'!A198,Feb!$H$2:$H$1000)</f>
        <v>0</v>
      </c>
      <c r="D198" s="5">
        <f>SUMIF(Mar!$G$2:$G$1000,'2024 Summary'!A198,Mar!$H$2:$H$1000)</f>
        <v>0</v>
      </c>
      <c r="E198" s="5">
        <f>SUMIF(Apr!$G$2:$G$1000,'2024 Summary'!A198,Apr!$H$2:$H$1000)</f>
        <v>0</v>
      </c>
      <c r="F198" s="5">
        <f>SUMIF(May!$G$2:$G$1000,'2024 Summary'!A198,May!$H$2:$H$1000)</f>
        <v>0</v>
      </c>
      <c r="G198" s="5">
        <f>SUMIF(Jun!$G$2:$G$1000,'2024 Summary'!A198,Jun!$H$2:$H$1000)</f>
        <v>0</v>
      </c>
      <c r="H198" s="5">
        <f>SUMIF(Jul!$G$2:$G$1000,'2024 Summary'!A198,Jul!$H$2:$H$1000)</f>
        <v>0</v>
      </c>
      <c r="I198" s="5">
        <f>SUMIF(Aug!$G$2:$G$1000,'2024 Summary'!A198,Aug!$H$2:$H$1000)</f>
        <v>0</v>
      </c>
      <c r="J198" s="5">
        <f>SUMIF(Sep!$G$2:$G$1000,'2024 Summary'!A198,Sep!$H$2:$H$1000)</f>
        <v>0</v>
      </c>
      <c r="K198" s="5">
        <f>SUMIF(Oct!$G$2:$G$1000,'2024 Summary'!A198,Oct!$H$2:$H$1000)</f>
        <v>0</v>
      </c>
      <c r="L198" s="5">
        <f>SUMIF(Nov!$G$2:$G$1000,'2024 Summary'!A198,Nov!$H$2:$H$1000)</f>
        <v>0</v>
      </c>
      <c r="M198" s="5">
        <f>SUMIF(Dec!$G$2:$G$1000,'2024 Summary'!A198,Dec!$H$2:$H$1000)</f>
        <v>0</v>
      </c>
      <c r="AA198" s="13">
        <f>Feb!G100</f>
        <v>0</v>
      </c>
    </row>
    <row r="199" spans="2:27" x14ac:dyDescent="0.25">
      <c r="B199" s="5">
        <f>SUMIF(Jan!$G$2:$G$1000,'2024 Summary'!A199,Jan!$H$2:$H$1000)</f>
        <v>0</v>
      </c>
      <c r="C199" s="5">
        <f>SUMIF(Feb!$G$2:$G$1000,'2024 Summary'!A199,Feb!$H$2:$H$1000)</f>
        <v>0</v>
      </c>
      <c r="D199" s="5">
        <f>SUMIF(Mar!$G$2:$G$1000,'2024 Summary'!A199,Mar!$H$2:$H$1000)</f>
        <v>0</v>
      </c>
      <c r="E199" s="5">
        <f>SUMIF(Apr!$G$2:$G$1000,'2024 Summary'!A199,Apr!$H$2:$H$1000)</f>
        <v>0</v>
      </c>
      <c r="F199" s="5">
        <f>SUMIF(May!$G$2:$G$1000,'2024 Summary'!A199,May!$H$2:$H$1000)</f>
        <v>0</v>
      </c>
      <c r="G199" s="5">
        <f>SUMIF(Jun!$G$2:$G$1000,'2024 Summary'!A199,Jun!$H$2:$H$1000)</f>
        <v>0</v>
      </c>
      <c r="H199" s="5">
        <f>SUMIF(Jul!$G$2:$G$1000,'2024 Summary'!A199,Jul!$H$2:$H$1000)</f>
        <v>0</v>
      </c>
      <c r="I199" s="5">
        <f>SUMIF(Aug!$G$2:$G$1000,'2024 Summary'!A199,Aug!$H$2:$H$1000)</f>
        <v>0</v>
      </c>
      <c r="J199" s="5">
        <f>SUMIF(Sep!$G$2:$G$1000,'2024 Summary'!A199,Sep!$H$2:$H$1000)</f>
        <v>0</v>
      </c>
      <c r="K199" s="5">
        <f>SUMIF(Oct!$G$2:$G$1000,'2024 Summary'!A199,Oct!$H$2:$H$1000)</f>
        <v>0</v>
      </c>
      <c r="L199" s="5">
        <f>SUMIF(Nov!$G$2:$G$1000,'2024 Summary'!A199,Nov!$H$2:$H$1000)</f>
        <v>0</v>
      </c>
      <c r="M199" s="5">
        <f>SUMIF(Dec!$G$2:$G$1000,'2024 Summary'!A199,Dec!$H$2:$H$1000)</f>
        <v>0</v>
      </c>
    </row>
    <row r="200" spans="2:27" x14ac:dyDescent="0.25">
      <c r="B200" s="5">
        <f>SUMIF(Jan!$G$2:$G$1000,'2024 Summary'!A200,Jan!$H$2:$H$1000)</f>
        <v>0</v>
      </c>
      <c r="C200" s="5">
        <f>SUMIF(Feb!$G$2:$G$1000,'2024 Summary'!A200,Feb!$H$2:$H$1000)</f>
        <v>0</v>
      </c>
      <c r="D200" s="5">
        <f>SUMIF(Mar!$G$2:$G$1000,'2024 Summary'!A200,Mar!$H$2:$H$1000)</f>
        <v>0</v>
      </c>
      <c r="E200" s="5">
        <f>SUMIF(Apr!$G$2:$G$1000,'2024 Summary'!A200,Apr!$H$2:$H$1000)</f>
        <v>0</v>
      </c>
      <c r="F200" s="5">
        <f>SUMIF(May!$G$2:$G$1000,'2024 Summary'!A200,May!$H$2:$H$1000)</f>
        <v>0</v>
      </c>
      <c r="G200" s="5">
        <f>SUMIF(Jun!$G$2:$G$1000,'2024 Summary'!A200,Jun!$H$2:$H$1000)</f>
        <v>0</v>
      </c>
      <c r="H200" s="5">
        <f>SUMIF(Jul!$G$2:$G$1000,'2024 Summary'!A200,Jul!$H$2:$H$1000)</f>
        <v>0</v>
      </c>
      <c r="I200" s="5">
        <f>SUMIF(Aug!$G$2:$G$1000,'2024 Summary'!A200,Aug!$H$2:$H$1000)</f>
        <v>0</v>
      </c>
      <c r="J200" s="5">
        <f>SUMIF(Sep!$G$2:$G$1000,'2024 Summary'!A200,Sep!$H$2:$H$1000)</f>
        <v>0</v>
      </c>
      <c r="K200" s="5">
        <f>SUMIF(Oct!$G$2:$G$1000,'2024 Summary'!A200,Oct!$H$2:$H$1000)</f>
        <v>0</v>
      </c>
      <c r="L200" s="5">
        <f>SUMIF(Nov!$G$2:$G$1000,'2024 Summary'!A200,Nov!$H$2:$H$1000)</f>
        <v>0</v>
      </c>
      <c r="M200" s="5">
        <f>SUMIF(Dec!$G$2:$G$1000,'2024 Summary'!A200,Dec!$H$2:$H$1000)</f>
        <v>0</v>
      </c>
      <c r="AA200" s="13">
        <f>Mar!G2</f>
        <v>0</v>
      </c>
    </row>
    <row r="201" spans="2:27" x14ac:dyDescent="0.25">
      <c r="B201" s="5">
        <f>SUMIF(Jan!$G$2:$G$1000,'2024 Summary'!A201,Jan!$H$2:$H$1000)</f>
        <v>0</v>
      </c>
      <c r="C201" s="5">
        <f>SUMIF(Feb!$G$2:$G$1000,'2024 Summary'!A201,Feb!$H$2:$H$1000)</f>
        <v>0</v>
      </c>
      <c r="D201" s="5">
        <f>SUMIF(Mar!$G$2:$G$1000,'2024 Summary'!A201,Mar!$H$2:$H$1000)</f>
        <v>0</v>
      </c>
      <c r="E201" s="5">
        <f>SUMIF(Apr!$G$2:$G$1000,'2024 Summary'!A201,Apr!$H$2:$H$1000)</f>
        <v>0</v>
      </c>
      <c r="F201" s="5">
        <f>SUMIF(May!$G$2:$G$1000,'2024 Summary'!A201,May!$H$2:$H$1000)</f>
        <v>0</v>
      </c>
      <c r="G201" s="5">
        <f>SUMIF(Jun!$G$2:$G$1000,'2024 Summary'!A201,Jun!$H$2:$H$1000)</f>
        <v>0</v>
      </c>
      <c r="H201" s="5">
        <f>SUMIF(Jul!$G$2:$G$1000,'2024 Summary'!A201,Jul!$H$2:$H$1000)</f>
        <v>0</v>
      </c>
      <c r="I201" s="5">
        <f>SUMIF(Aug!$G$2:$G$1000,'2024 Summary'!A201,Aug!$H$2:$H$1000)</f>
        <v>0</v>
      </c>
      <c r="J201" s="5">
        <f>SUMIF(Sep!$G$2:$G$1000,'2024 Summary'!A201,Sep!$H$2:$H$1000)</f>
        <v>0</v>
      </c>
      <c r="K201" s="5">
        <f>SUMIF(Oct!$G$2:$G$1000,'2024 Summary'!A201,Oct!$H$2:$H$1000)</f>
        <v>0</v>
      </c>
      <c r="L201" s="5">
        <f>SUMIF(Nov!$G$2:$G$1000,'2024 Summary'!A201,Nov!$H$2:$H$1000)</f>
        <v>0</v>
      </c>
      <c r="M201" s="5">
        <f>SUMIF(Dec!$G$2:$G$1000,'2024 Summary'!A201,Dec!$H$2:$H$1000)</f>
        <v>0</v>
      </c>
      <c r="AA201" s="13">
        <f>Mar!G3</f>
        <v>0</v>
      </c>
    </row>
    <row r="202" spans="2:27" x14ac:dyDescent="0.25">
      <c r="B202" s="5">
        <f>SUMIF(Jan!$G$2:$G$1000,'2024 Summary'!A202,Jan!$H$2:$H$1000)</f>
        <v>0</v>
      </c>
      <c r="C202" s="5">
        <f>SUMIF(Feb!$G$2:$G$1000,'2024 Summary'!A202,Feb!$H$2:$H$1000)</f>
        <v>0</v>
      </c>
      <c r="D202" s="5">
        <f>SUMIF(Mar!$G$2:$G$1000,'2024 Summary'!A202,Mar!$H$2:$H$1000)</f>
        <v>0</v>
      </c>
      <c r="E202" s="5">
        <f>SUMIF(Apr!$G$2:$G$1000,'2024 Summary'!A202,Apr!$H$2:$H$1000)</f>
        <v>0</v>
      </c>
      <c r="F202" s="5">
        <f>SUMIF(May!$G$2:$G$1000,'2024 Summary'!A202,May!$H$2:$H$1000)</f>
        <v>0</v>
      </c>
      <c r="G202" s="5">
        <f>SUMIF(Jun!$G$2:$G$1000,'2024 Summary'!A202,Jun!$H$2:$H$1000)</f>
        <v>0</v>
      </c>
      <c r="H202" s="5">
        <f>SUMIF(Jul!$G$2:$G$1000,'2024 Summary'!A202,Jul!$H$2:$H$1000)</f>
        <v>0</v>
      </c>
      <c r="I202" s="5">
        <f>SUMIF(Aug!$G$2:$G$1000,'2024 Summary'!A202,Aug!$H$2:$H$1000)</f>
        <v>0</v>
      </c>
      <c r="J202" s="5">
        <f>SUMIF(Sep!$G$2:$G$1000,'2024 Summary'!A202,Sep!$H$2:$H$1000)</f>
        <v>0</v>
      </c>
      <c r="K202" s="5">
        <f>SUMIF(Oct!$G$2:$G$1000,'2024 Summary'!A202,Oct!$H$2:$H$1000)</f>
        <v>0</v>
      </c>
      <c r="L202" s="5">
        <f>SUMIF(Nov!$G$2:$G$1000,'2024 Summary'!A202,Nov!$H$2:$H$1000)</f>
        <v>0</v>
      </c>
      <c r="M202" s="5">
        <f>SUMIF(Dec!$G$2:$G$1000,'2024 Summary'!A202,Dec!$H$2:$H$1000)</f>
        <v>0</v>
      </c>
      <c r="AA202" s="13">
        <f>Mar!G4</f>
        <v>0</v>
      </c>
    </row>
    <row r="203" spans="2:27" x14ac:dyDescent="0.25">
      <c r="B203" s="5">
        <f>SUMIF(Jan!$G$2:$G$1000,'2024 Summary'!A203,Jan!$H$2:$H$1000)</f>
        <v>0</v>
      </c>
      <c r="C203" s="5">
        <f>SUMIF(Feb!$G$2:$G$1000,'2024 Summary'!A203,Feb!$H$2:$H$1000)</f>
        <v>0</v>
      </c>
      <c r="D203" s="5">
        <f>SUMIF(Mar!$G$2:$G$1000,'2024 Summary'!A203,Mar!$H$2:$H$1000)</f>
        <v>0</v>
      </c>
      <c r="E203" s="5">
        <f>SUMIF(Apr!$G$2:$G$1000,'2024 Summary'!A203,Apr!$H$2:$H$1000)</f>
        <v>0</v>
      </c>
      <c r="F203" s="5">
        <f>SUMIF(May!$G$2:$G$1000,'2024 Summary'!A203,May!$H$2:$H$1000)</f>
        <v>0</v>
      </c>
      <c r="G203" s="5">
        <f>SUMIF(Jun!$G$2:$G$1000,'2024 Summary'!A203,Jun!$H$2:$H$1000)</f>
        <v>0</v>
      </c>
      <c r="H203" s="5">
        <f>SUMIF(Jul!$G$2:$G$1000,'2024 Summary'!A203,Jul!$H$2:$H$1000)</f>
        <v>0</v>
      </c>
      <c r="I203" s="5">
        <f>SUMIF(Aug!$G$2:$G$1000,'2024 Summary'!A203,Aug!$H$2:$H$1000)</f>
        <v>0</v>
      </c>
      <c r="J203" s="5">
        <f>SUMIF(Sep!$G$2:$G$1000,'2024 Summary'!A203,Sep!$H$2:$H$1000)</f>
        <v>0</v>
      </c>
      <c r="K203" s="5">
        <f>SUMIF(Oct!$G$2:$G$1000,'2024 Summary'!A203,Oct!$H$2:$H$1000)</f>
        <v>0</v>
      </c>
      <c r="L203" s="5">
        <f>SUMIF(Nov!$G$2:$G$1000,'2024 Summary'!A203,Nov!$H$2:$H$1000)</f>
        <v>0</v>
      </c>
      <c r="M203" s="5">
        <f>SUMIF(Dec!$G$2:$G$1000,'2024 Summary'!A203,Dec!$H$2:$H$1000)</f>
        <v>0</v>
      </c>
      <c r="AA203" s="13">
        <f>Mar!G5</f>
        <v>0</v>
      </c>
    </row>
    <row r="204" spans="2:27" x14ac:dyDescent="0.25">
      <c r="B204" s="5">
        <f>SUMIF(Jan!$G$2:$G$1000,'2024 Summary'!A204,Jan!$H$2:$H$1000)</f>
        <v>0</v>
      </c>
      <c r="C204" s="5">
        <f>SUMIF(Feb!$G$2:$G$1000,'2024 Summary'!A204,Feb!$H$2:$H$1000)</f>
        <v>0</v>
      </c>
      <c r="D204" s="5">
        <f>SUMIF(Mar!$G$2:$G$1000,'2024 Summary'!A204,Mar!$H$2:$H$1000)</f>
        <v>0</v>
      </c>
      <c r="E204" s="5">
        <f>SUMIF(Apr!$G$2:$G$1000,'2024 Summary'!A204,Apr!$H$2:$H$1000)</f>
        <v>0</v>
      </c>
      <c r="F204" s="5">
        <f>SUMIF(May!$G$2:$G$1000,'2024 Summary'!A204,May!$H$2:$H$1000)</f>
        <v>0</v>
      </c>
      <c r="G204" s="5">
        <f>SUMIF(Jun!$G$2:$G$1000,'2024 Summary'!A204,Jun!$H$2:$H$1000)</f>
        <v>0</v>
      </c>
      <c r="H204" s="5">
        <f>SUMIF(Jul!$G$2:$G$1000,'2024 Summary'!A204,Jul!$H$2:$H$1000)</f>
        <v>0</v>
      </c>
      <c r="I204" s="5">
        <f>SUMIF(Aug!$G$2:$G$1000,'2024 Summary'!A204,Aug!$H$2:$H$1000)</f>
        <v>0</v>
      </c>
      <c r="J204" s="5">
        <f>SUMIF(Sep!$G$2:$G$1000,'2024 Summary'!A204,Sep!$H$2:$H$1000)</f>
        <v>0</v>
      </c>
      <c r="K204" s="5">
        <f>SUMIF(Oct!$G$2:$G$1000,'2024 Summary'!A204,Oct!$H$2:$H$1000)</f>
        <v>0</v>
      </c>
      <c r="L204" s="5">
        <f>SUMIF(Nov!$G$2:$G$1000,'2024 Summary'!A204,Nov!$H$2:$H$1000)</f>
        <v>0</v>
      </c>
      <c r="M204" s="5">
        <f>SUMIF(Dec!$G$2:$G$1000,'2024 Summary'!A204,Dec!$H$2:$H$1000)</f>
        <v>0</v>
      </c>
      <c r="AA204" s="13">
        <f>Mar!G6</f>
        <v>0</v>
      </c>
    </row>
    <row r="205" spans="2:27" x14ac:dyDescent="0.25">
      <c r="B205" s="5">
        <f>SUMIF(Jan!$G$2:$G$1000,'2024 Summary'!A205,Jan!$H$2:$H$1000)</f>
        <v>0</v>
      </c>
      <c r="C205" s="5">
        <f>SUMIF(Feb!$G$2:$G$1000,'2024 Summary'!A205,Feb!$H$2:$H$1000)</f>
        <v>0</v>
      </c>
      <c r="D205" s="5">
        <f>SUMIF(Mar!$G$2:$G$1000,'2024 Summary'!A205,Mar!$H$2:$H$1000)</f>
        <v>0</v>
      </c>
      <c r="E205" s="5">
        <f>SUMIF(Apr!$G$2:$G$1000,'2024 Summary'!A205,Apr!$H$2:$H$1000)</f>
        <v>0</v>
      </c>
      <c r="F205" s="5">
        <f>SUMIF(May!$G$2:$G$1000,'2024 Summary'!A205,May!$H$2:$H$1000)</f>
        <v>0</v>
      </c>
      <c r="G205" s="5">
        <f>SUMIF(Jun!$G$2:$G$1000,'2024 Summary'!A205,Jun!$H$2:$H$1000)</f>
        <v>0</v>
      </c>
      <c r="H205" s="5">
        <f>SUMIF(Jul!$G$2:$G$1000,'2024 Summary'!A205,Jul!$H$2:$H$1000)</f>
        <v>0</v>
      </c>
      <c r="I205" s="5">
        <f>SUMIF(Aug!$G$2:$G$1000,'2024 Summary'!A205,Aug!$H$2:$H$1000)</f>
        <v>0</v>
      </c>
      <c r="J205" s="5">
        <f>SUMIF(Sep!$G$2:$G$1000,'2024 Summary'!A205,Sep!$H$2:$H$1000)</f>
        <v>0</v>
      </c>
      <c r="K205" s="5">
        <f>SUMIF(Oct!$G$2:$G$1000,'2024 Summary'!A205,Oct!$H$2:$H$1000)</f>
        <v>0</v>
      </c>
      <c r="L205" s="5">
        <f>SUMIF(Nov!$G$2:$G$1000,'2024 Summary'!A205,Nov!$H$2:$H$1000)</f>
        <v>0</v>
      </c>
      <c r="M205" s="5">
        <f>SUMIF(Dec!$G$2:$G$1000,'2024 Summary'!A205,Dec!$H$2:$H$1000)</f>
        <v>0</v>
      </c>
      <c r="AA205" s="13">
        <f>Mar!G7</f>
        <v>0</v>
      </c>
    </row>
    <row r="206" spans="2:27" x14ac:dyDescent="0.25">
      <c r="B206" s="5">
        <f>SUMIF(Jan!$G$2:$G$1000,'2024 Summary'!A206,Jan!$H$2:$H$1000)</f>
        <v>0</v>
      </c>
      <c r="C206" s="5">
        <f>SUMIF(Feb!$G$2:$G$1000,'2024 Summary'!A206,Feb!$H$2:$H$1000)</f>
        <v>0</v>
      </c>
      <c r="D206" s="5">
        <f>SUMIF(Mar!$G$2:$G$1000,'2024 Summary'!A206,Mar!$H$2:$H$1000)</f>
        <v>0</v>
      </c>
      <c r="E206" s="5">
        <f>SUMIF(Apr!$G$2:$G$1000,'2024 Summary'!A206,Apr!$H$2:$H$1000)</f>
        <v>0</v>
      </c>
      <c r="F206" s="5">
        <f>SUMIF(May!$G$2:$G$1000,'2024 Summary'!A206,May!$H$2:$H$1000)</f>
        <v>0</v>
      </c>
      <c r="G206" s="5">
        <f>SUMIF(Jun!$G$2:$G$1000,'2024 Summary'!A206,Jun!$H$2:$H$1000)</f>
        <v>0</v>
      </c>
      <c r="H206" s="5">
        <f>SUMIF(Jul!$G$2:$G$1000,'2024 Summary'!A206,Jul!$H$2:$H$1000)</f>
        <v>0</v>
      </c>
      <c r="I206" s="5">
        <f>SUMIF(Aug!$G$2:$G$1000,'2024 Summary'!A206,Aug!$H$2:$H$1000)</f>
        <v>0</v>
      </c>
      <c r="J206" s="5">
        <f>SUMIF(Sep!$G$2:$G$1000,'2024 Summary'!A206,Sep!$H$2:$H$1000)</f>
        <v>0</v>
      </c>
      <c r="K206" s="5">
        <f>SUMIF(Oct!$G$2:$G$1000,'2024 Summary'!A206,Oct!$H$2:$H$1000)</f>
        <v>0</v>
      </c>
      <c r="L206" s="5">
        <f>SUMIF(Nov!$G$2:$G$1000,'2024 Summary'!A206,Nov!$H$2:$H$1000)</f>
        <v>0</v>
      </c>
      <c r="M206" s="5">
        <f>SUMIF(Dec!$G$2:$G$1000,'2024 Summary'!A206,Dec!$H$2:$H$1000)</f>
        <v>0</v>
      </c>
      <c r="AA206" s="13">
        <f>Mar!G8</f>
        <v>0</v>
      </c>
    </row>
    <row r="207" spans="2:27" x14ac:dyDescent="0.25">
      <c r="B207" s="5">
        <f>SUMIF(Jan!$G$2:$G$1000,'2024 Summary'!A207,Jan!$H$2:$H$1000)</f>
        <v>0</v>
      </c>
      <c r="C207" s="5">
        <f>SUMIF(Feb!$G$2:$G$1000,'2024 Summary'!A207,Feb!$H$2:$H$1000)</f>
        <v>0</v>
      </c>
      <c r="D207" s="5">
        <f>SUMIF(Mar!$G$2:$G$1000,'2024 Summary'!A207,Mar!$H$2:$H$1000)</f>
        <v>0</v>
      </c>
      <c r="E207" s="5">
        <f>SUMIF(Apr!$G$2:$G$1000,'2024 Summary'!A207,Apr!$H$2:$H$1000)</f>
        <v>0</v>
      </c>
      <c r="F207" s="5">
        <f>SUMIF(May!$G$2:$G$1000,'2024 Summary'!A207,May!$H$2:$H$1000)</f>
        <v>0</v>
      </c>
      <c r="G207" s="5">
        <f>SUMIF(Jun!$G$2:$G$1000,'2024 Summary'!A207,Jun!$H$2:$H$1000)</f>
        <v>0</v>
      </c>
      <c r="H207" s="5">
        <f>SUMIF(Jul!$G$2:$G$1000,'2024 Summary'!A207,Jul!$H$2:$H$1000)</f>
        <v>0</v>
      </c>
      <c r="I207" s="5">
        <f>SUMIF(Aug!$G$2:$G$1000,'2024 Summary'!A207,Aug!$H$2:$H$1000)</f>
        <v>0</v>
      </c>
      <c r="J207" s="5">
        <f>SUMIF(Sep!$G$2:$G$1000,'2024 Summary'!A207,Sep!$H$2:$H$1000)</f>
        <v>0</v>
      </c>
      <c r="K207" s="5">
        <f>SUMIF(Oct!$G$2:$G$1000,'2024 Summary'!A207,Oct!$H$2:$H$1000)</f>
        <v>0</v>
      </c>
      <c r="L207" s="5">
        <f>SUMIF(Nov!$G$2:$G$1000,'2024 Summary'!A207,Nov!$H$2:$H$1000)</f>
        <v>0</v>
      </c>
      <c r="M207" s="5">
        <f>SUMIF(Dec!$G$2:$G$1000,'2024 Summary'!A207,Dec!$H$2:$H$1000)</f>
        <v>0</v>
      </c>
      <c r="AA207" s="13">
        <f>Mar!G9</f>
        <v>0</v>
      </c>
    </row>
    <row r="208" spans="2:27" x14ac:dyDescent="0.25">
      <c r="B208" s="5">
        <f>SUMIF(Jan!$G$2:$G$1000,'2024 Summary'!A208,Jan!$H$2:$H$1000)</f>
        <v>0</v>
      </c>
      <c r="C208" s="5">
        <f>SUMIF(Feb!$G$2:$G$1000,'2024 Summary'!A208,Feb!$H$2:$H$1000)</f>
        <v>0</v>
      </c>
      <c r="D208" s="5">
        <f>SUMIF(Mar!$G$2:$G$1000,'2024 Summary'!A208,Mar!$H$2:$H$1000)</f>
        <v>0</v>
      </c>
      <c r="E208" s="5">
        <f>SUMIF(Apr!$G$2:$G$1000,'2024 Summary'!A208,Apr!$H$2:$H$1000)</f>
        <v>0</v>
      </c>
      <c r="F208" s="5">
        <f>SUMIF(May!$G$2:$G$1000,'2024 Summary'!A208,May!$H$2:$H$1000)</f>
        <v>0</v>
      </c>
      <c r="G208" s="5">
        <f>SUMIF(Jun!$G$2:$G$1000,'2024 Summary'!A208,Jun!$H$2:$H$1000)</f>
        <v>0</v>
      </c>
      <c r="H208" s="5">
        <f>SUMIF(Jul!$G$2:$G$1000,'2024 Summary'!A208,Jul!$H$2:$H$1000)</f>
        <v>0</v>
      </c>
      <c r="I208" s="5">
        <f>SUMIF(Aug!$G$2:$G$1000,'2024 Summary'!A208,Aug!$H$2:$H$1000)</f>
        <v>0</v>
      </c>
      <c r="J208" s="5">
        <f>SUMIF(Sep!$G$2:$G$1000,'2024 Summary'!A208,Sep!$H$2:$H$1000)</f>
        <v>0</v>
      </c>
      <c r="K208" s="5">
        <f>SUMIF(Oct!$G$2:$G$1000,'2024 Summary'!A208,Oct!$H$2:$H$1000)</f>
        <v>0</v>
      </c>
      <c r="L208" s="5">
        <f>SUMIF(Nov!$G$2:$G$1000,'2024 Summary'!A208,Nov!$H$2:$H$1000)</f>
        <v>0</v>
      </c>
      <c r="M208" s="5">
        <f>SUMIF(Dec!$G$2:$G$1000,'2024 Summary'!A208,Dec!$H$2:$H$1000)</f>
        <v>0</v>
      </c>
      <c r="AA208" s="13">
        <f>Mar!G10</f>
        <v>0</v>
      </c>
    </row>
    <row r="209" spans="2:27" x14ac:dyDescent="0.25">
      <c r="B209" s="5">
        <f>SUMIF(Jan!$G$2:$G$1000,'2024 Summary'!A209,Jan!$H$2:$H$1000)</f>
        <v>0</v>
      </c>
      <c r="C209" s="5">
        <f>SUMIF(Feb!$G$2:$G$1000,'2024 Summary'!A209,Feb!$H$2:$H$1000)</f>
        <v>0</v>
      </c>
      <c r="D209" s="5">
        <f>SUMIF(Mar!$G$2:$G$1000,'2024 Summary'!A209,Mar!$H$2:$H$1000)</f>
        <v>0</v>
      </c>
      <c r="E209" s="5">
        <f>SUMIF(Apr!$G$2:$G$1000,'2024 Summary'!A209,Apr!$H$2:$H$1000)</f>
        <v>0</v>
      </c>
      <c r="F209" s="5">
        <f>SUMIF(May!$G$2:$G$1000,'2024 Summary'!A209,May!$H$2:$H$1000)</f>
        <v>0</v>
      </c>
      <c r="G209" s="5">
        <f>SUMIF(Jun!$G$2:$G$1000,'2024 Summary'!A209,Jun!$H$2:$H$1000)</f>
        <v>0</v>
      </c>
      <c r="H209" s="5">
        <f>SUMIF(Jul!$G$2:$G$1000,'2024 Summary'!A209,Jul!$H$2:$H$1000)</f>
        <v>0</v>
      </c>
      <c r="I209" s="5">
        <f>SUMIF(Aug!$G$2:$G$1000,'2024 Summary'!A209,Aug!$H$2:$H$1000)</f>
        <v>0</v>
      </c>
      <c r="J209" s="5">
        <f>SUMIF(Sep!$G$2:$G$1000,'2024 Summary'!A209,Sep!$H$2:$H$1000)</f>
        <v>0</v>
      </c>
      <c r="K209" s="5">
        <f>SUMIF(Oct!$G$2:$G$1000,'2024 Summary'!A209,Oct!$H$2:$H$1000)</f>
        <v>0</v>
      </c>
      <c r="L209" s="5">
        <f>SUMIF(Nov!$G$2:$G$1000,'2024 Summary'!A209,Nov!$H$2:$H$1000)</f>
        <v>0</v>
      </c>
      <c r="M209" s="5">
        <f>SUMIF(Dec!$G$2:$G$1000,'2024 Summary'!A209,Dec!$H$2:$H$1000)</f>
        <v>0</v>
      </c>
      <c r="AA209" s="13">
        <f>Mar!G11</f>
        <v>0</v>
      </c>
    </row>
    <row r="210" spans="2:27" x14ac:dyDescent="0.25">
      <c r="B210" s="5">
        <f>SUMIF(Jan!$G$2:$G$1000,'2024 Summary'!A210,Jan!$H$2:$H$1000)</f>
        <v>0</v>
      </c>
      <c r="C210" s="5">
        <f>SUMIF(Feb!$G$2:$G$1000,'2024 Summary'!A210,Feb!$H$2:$H$1000)</f>
        <v>0</v>
      </c>
      <c r="D210" s="5">
        <f>SUMIF(Mar!$G$2:$G$1000,'2024 Summary'!A210,Mar!$H$2:$H$1000)</f>
        <v>0</v>
      </c>
      <c r="E210" s="5">
        <f>SUMIF(Apr!$G$2:$G$1000,'2024 Summary'!A210,Apr!$H$2:$H$1000)</f>
        <v>0</v>
      </c>
      <c r="F210" s="5">
        <f>SUMIF(May!$G$2:$G$1000,'2024 Summary'!A210,May!$H$2:$H$1000)</f>
        <v>0</v>
      </c>
      <c r="G210" s="5">
        <f>SUMIF(Jun!$G$2:$G$1000,'2024 Summary'!A210,Jun!$H$2:$H$1000)</f>
        <v>0</v>
      </c>
      <c r="H210" s="5">
        <f>SUMIF(Jul!$G$2:$G$1000,'2024 Summary'!A210,Jul!$H$2:$H$1000)</f>
        <v>0</v>
      </c>
      <c r="I210" s="5">
        <f>SUMIF(Aug!$G$2:$G$1000,'2024 Summary'!A210,Aug!$H$2:$H$1000)</f>
        <v>0</v>
      </c>
      <c r="J210" s="5">
        <f>SUMIF(Sep!$G$2:$G$1000,'2024 Summary'!A210,Sep!$H$2:$H$1000)</f>
        <v>0</v>
      </c>
      <c r="K210" s="5">
        <f>SUMIF(Oct!$G$2:$G$1000,'2024 Summary'!A210,Oct!$H$2:$H$1000)</f>
        <v>0</v>
      </c>
      <c r="L210" s="5">
        <f>SUMIF(Nov!$G$2:$G$1000,'2024 Summary'!A210,Nov!$H$2:$H$1000)</f>
        <v>0</v>
      </c>
      <c r="M210" s="5">
        <f>SUMIF(Dec!$G$2:$G$1000,'2024 Summary'!A210,Dec!$H$2:$H$1000)</f>
        <v>0</v>
      </c>
      <c r="AA210" s="13">
        <f>Mar!G12</f>
        <v>0</v>
      </c>
    </row>
    <row r="211" spans="2:27" x14ac:dyDescent="0.25">
      <c r="B211" s="5">
        <f>SUMIF(Jan!$G$2:$G$1000,'2024 Summary'!A211,Jan!$H$2:$H$1000)</f>
        <v>0</v>
      </c>
      <c r="C211" s="5">
        <f>SUMIF(Feb!$G$2:$G$1000,'2024 Summary'!A211,Feb!$H$2:$H$1000)</f>
        <v>0</v>
      </c>
      <c r="D211" s="5">
        <f>SUMIF(Mar!$G$2:$G$1000,'2024 Summary'!A211,Mar!$H$2:$H$1000)</f>
        <v>0</v>
      </c>
      <c r="E211" s="5">
        <f>SUMIF(Apr!$G$2:$G$1000,'2024 Summary'!A211,Apr!$H$2:$H$1000)</f>
        <v>0</v>
      </c>
      <c r="F211" s="5">
        <f>SUMIF(May!$G$2:$G$1000,'2024 Summary'!A211,May!$H$2:$H$1000)</f>
        <v>0</v>
      </c>
      <c r="G211" s="5">
        <f>SUMIF(Jun!$G$2:$G$1000,'2024 Summary'!A211,Jun!$H$2:$H$1000)</f>
        <v>0</v>
      </c>
      <c r="H211" s="5">
        <f>SUMIF(Jul!$G$2:$G$1000,'2024 Summary'!A211,Jul!$H$2:$H$1000)</f>
        <v>0</v>
      </c>
      <c r="I211" s="5">
        <f>SUMIF(Aug!$G$2:$G$1000,'2024 Summary'!A211,Aug!$H$2:$H$1000)</f>
        <v>0</v>
      </c>
      <c r="J211" s="5">
        <f>SUMIF(Sep!$G$2:$G$1000,'2024 Summary'!A211,Sep!$H$2:$H$1000)</f>
        <v>0</v>
      </c>
      <c r="K211" s="5">
        <f>SUMIF(Oct!$G$2:$G$1000,'2024 Summary'!A211,Oct!$H$2:$H$1000)</f>
        <v>0</v>
      </c>
      <c r="L211" s="5">
        <f>SUMIF(Nov!$G$2:$G$1000,'2024 Summary'!A211,Nov!$H$2:$H$1000)</f>
        <v>0</v>
      </c>
      <c r="M211" s="5">
        <f>SUMIF(Dec!$G$2:$G$1000,'2024 Summary'!A211,Dec!$H$2:$H$1000)</f>
        <v>0</v>
      </c>
      <c r="AA211" s="13">
        <f>Mar!G13</f>
        <v>0</v>
      </c>
    </row>
    <row r="212" spans="2:27" x14ac:dyDescent="0.25">
      <c r="B212" s="5">
        <f>SUMIF(Jan!$G$2:$G$1000,'2024 Summary'!A212,Jan!$H$2:$H$1000)</f>
        <v>0</v>
      </c>
      <c r="C212" s="5">
        <f>SUMIF(Feb!$G$2:$G$1000,'2024 Summary'!A212,Feb!$H$2:$H$1000)</f>
        <v>0</v>
      </c>
      <c r="D212" s="5">
        <f>SUMIF(Mar!$G$2:$G$1000,'2024 Summary'!A212,Mar!$H$2:$H$1000)</f>
        <v>0</v>
      </c>
      <c r="E212" s="5">
        <f>SUMIF(Apr!$G$2:$G$1000,'2024 Summary'!A212,Apr!$H$2:$H$1000)</f>
        <v>0</v>
      </c>
      <c r="F212" s="5">
        <f>SUMIF(May!$G$2:$G$1000,'2024 Summary'!A212,May!$H$2:$H$1000)</f>
        <v>0</v>
      </c>
      <c r="G212" s="5">
        <f>SUMIF(Jun!$G$2:$G$1000,'2024 Summary'!A212,Jun!$H$2:$H$1000)</f>
        <v>0</v>
      </c>
      <c r="H212" s="5">
        <f>SUMIF(Jul!$G$2:$G$1000,'2024 Summary'!A212,Jul!$H$2:$H$1000)</f>
        <v>0</v>
      </c>
      <c r="I212" s="5">
        <f>SUMIF(Aug!$G$2:$G$1000,'2024 Summary'!A212,Aug!$H$2:$H$1000)</f>
        <v>0</v>
      </c>
      <c r="J212" s="5">
        <f>SUMIF(Sep!$G$2:$G$1000,'2024 Summary'!A212,Sep!$H$2:$H$1000)</f>
        <v>0</v>
      </c>
      <c r="K212" s="5">
        <f>SUMIF(Oct!$G$2:$G$1000,'2024 Summary'!A212,Oct!$H$2:$H$1000)</f>
        <v>0</v>
      </c>
      <c r="L212" s="5">
        <f>SUMIF(Nov!$G$2:$G$1000,'2024 Summary'!A212,Nov!$H$2:$H$1000)</f>
        <v>0</v>
      </c>
      <c r="M212" s="5">
        <f>SUMIF(Dec!$G$2:$G$1000,'2024 Summary'!A212,Dec!$H$2:$H$1000)</f>
        <v>0</v>
      </c>
      <c r="AA212" s="13">
        <f>Mar!G14</f>
        <v>0</v>
      </c>
    </row>
    <row r="213" spans="2:27" x14ac:dyDescent="0.25">
      <c r="B213" s="5">
        <f>SUMIF(Jan!$G$2:$G$1000,'2024 Summary'!A213,Jan!$H$2:$H$1000)</f>
        <v>0</v>
      </c>
      <c r="C213" s="5">
        <f>SUMIF(Feb!$G$2:$G$1000,'2024 Summary'!A213,Feb!$H$2:$H$1000)</f>
        <v>0</v>
      </c>
      <c r="D213" s="5">
        <f>SUMIF(Mar!$G$2:$G$1000,'2024 Summary'!A213,Mar!$H$2:$H$1000)</f>
        <v>0</v>
      </c>
      <c r="E213" s="5">
        <f>SUMIF(Apr!$G$2:$G$1000,'2024 Summary'!A213,Apr!$H$2:$H$1000)</f>
        <v>0</v>
      </c>
      <c r="F213" s="5">
        <f>SUMIF(May!$G$2:$G$1000,'2024 Summary'!A213,May!$H$2:$H$1000)</f>
        <v>0</v>
      </c>
      <c r="G213" s="5">
        <f>SUMIF(Jun!$G$2:$G$1000,'2024 Summary'!A213,Jun!$H$2:$H$1000)</f>
        <v>0</v>
      </c>
      <c r="H213" s="5">
        <f>SUMIF(Jul!$G$2:$G$1000,'2024 Summary'!A213,Jul!$H$2:$H$1000)</f>
        <v>0</v>
      </c>
      <c r="I213" s="5">
        <f>SUMIF(Aug!$G$2:$G$1000,'2024 Summary'!A213,Aug!$H$2:$H$1000)</f>
        <v>0</v>
      </c>
      <c r="J213" s="5">
        <f>SUMIF(Sep!$G$2:$G$1000,'2024 Summary'!A213,Sep!$H$2:$H$1000)</f>
        <v>0</v>
      </c>
      <c r="K213" s="5">
        <f>SUMIF(Oct!$G$2:$G$1000,'2024 Summary'!A213,Oct!$H$2:$H$1000)</f>
        <v>0</v>
      </c>
      <c r="L213" s="5">
        <f>SUMIF(Nov!$G$2:$G$1000,'2024 Summary'!A213,Nov!$H$2:$H$1000)</f>
        <v>0</v>
      </c>
      <c r="M213" s="5">
        <f>SUMIF(Dec!$G$2:$G$1000,'2024 Summary'!A213,Dec!$H$2:$H$1000)</f>
        <v>0</v>
      </c>
      <c r="AA213" s="13">
        <f>Mar!G15</f>
        <v>0</v>
      </c>
    </row>
    <row r="214" spans="2:27" x14ac:dyDescent="0.25">
      <c r="B214" s="5">
        <f>SUMIF(Jan!$G$2:$G$1000,'2024 Summary'!A214,Jan!$H$2:$H$1000)</f>
        <v>0</v>
      </c>
      <c r="C214" s="5">
        <f>SUMIF(Feb!$G$2:$G$1000,'2024 Summary'!A214,Feb!$H$2:$H$1000)</f>
        <v>0</v>
      </c>
      <c r="D214" s="5">
        <f>SUMIF(Mar!$G$2:$G$1000,'2024 Summary'!A214,Mar!$H$2:$H$1000)</f>
        <v>0</v>
      </c>
      <c r="E214" s="5">
        <f>SUMIF(Apr!$G$2:$G$1000,'2024 Summary'!A214,Apr!$H$2:$H$1000)</f>
        <v>0</v>
      </c>
      <c r="F214" s="5">
        <f>SUMIF(May!$G$2:$G$1000,'2024 Summary'!A214,May!$H$2:$H$1000)</f>
        <v>0</v>
      </c>
      <c r="G214" s="5">
        <f>SUMIF(Jun!$G$2:$G$1000,'2024 Summary'!A214,Jun!$H$2:$H$1000)</f>
        <v>0</v>
      </c>
      <c r="H214" s="5">
        <f>SUMIF(Jul!$G$2:$G$1000,'2024 Summary'!A214,Jul!$H$2:$H$1000)</f>
        <v>0</v>
      </c>
      <c r="I214" s="5">
        <f>SUMIF(Aug!$G$2:$G$1000,'2024 Summary'!A214,Aug!$H$2:$H$1000)</f>
        <v>0</v>
      </c>
      <c r="J214" s="5">
        <f>SUMIF(Sep!$G$2:$G$1000,'2024 Summary'!A214,Sep!$H$2:$H$1000)</f>
        <v>0</v>
      </c>
      <c r="K214" s="5">
        <f>SUMIF(Oct!$G$2:$G$1000,'2024 Summary'!A214,Oct!$H$2:$H$1000)</f>
        <v>0</v>
      </c>
      <c r="L214" s="5">
        <f>SUMIF(Nov!$G$2:$G$1000,'2024 Summary'!A214,Nov!$H$2:$H$1000)</f>
        <v>0</v>
      </c>
      <c r="M214" s="5">
        <f>SUMIF(Dec!$G$2:$G$1000,'2024 Summary'!A214,Dec!$H$2:$H$1000)</f>
        <v>0</v>
      </c>
      <c r="AA214" s="13">
        <f>Mar!G16</f>
        <v>0</v>
      </c>
    </row>
    <row r="215" spans="2:27" x14ac:dyDescent="0.25">
      <c r="B215" s="5">
        <f>SUMIF(Jan!$G$2:$G$1000,'2024 Summary'!A215,Jan!$H$2:$H$1000)</f>
        <v>0</v>
      </c>
      <c r="C215" s="5">
        <f>SUMIF(Feb!$G$2:$G$1000,'2024 Summary'!A215,Feb!$H$2:$H$1000)</f>
        <v>0</v>
      </c>
      <c r="D215" s="5">
        <f>SUMIF(Mar!$G$2:$G$1000,'2024 Summary'!A215,Mar!$H$2:$H$1000)</f>
        <v>0</v>
      </c>
      <c r="E215" s="5">
        <f>SUMIF(Apr!$G$2:$G$1000,'2024 Summary'!A215,Apr!$H$2:$H$1000)</f>
        <v>0</v>
      </c>
      <c r="F215" s="5">
        <f>SUMIF(May!$G$2:$G$1000,'2024 Summary'!A215,May!$H$2:$H$1000)</f>
        <v>0</v>
      </c>
      <c r="G215" s="5">
        <f>SUMIF(Jun!$G$2:$G$1000,'2024 Summary'!A215,Jun!$H$2:$H$1000)</f>
        <v>0</v>
      </c>
      <c r="H215" s="5">
        <f>SUMIF(Jul!$G$2:$G$1000,'2024 Summary'!A215,Jul!$H$2:$H$1000)</f>
        <v>0</v>
      </c>
      <c r="I215" s="5">
        <f>SUMIF(Aug!$G$2:$G$1000,'2024 Summary'!A215,Aug!$H$2:$H$1000)</f>
        <v>0</v>
      </c>
      <c r="J215" s="5">
        <f>SUMIF(Sep!$G$2:$G$1000,'2024 Summary'!A215,Sep!$H$2:$H$1000)</f>
        <v>0</v>
      </c>
      <c r="K215" s="5">
        <f>SUMIF(Oct!$G$2:$G$1000,'2024 Summary'!A215,Oct!$H$2:$H$1000)</f>
        <v>0</v>
      </c>
      <c r="L215" s="5">
        <f>SUMIF(Nov!$G$2:$G$1000,'2024 Summary'!A215,Nov!$H$2:$H$1000)</f>
        <v>0</v>
      </c>
      <c r="M215" s="5">
        <f>SUMIF(Dec!$G$2:$G$1000,'2024 Summary'!A215,Dec!$H$2:$H$1000)</f>
        <v>0</v>
      </c>
      <c r="AA215" s="13">
        <f>Mar!G17</f>
        <v>0</v>
      </c>
    </row>
    <row r="216" spans="2:27" x14ac:dyDescent="0.25">
      <c r="B216" s="5">
        <f>SUMIF(Jan!$G$2:$G$1000,'2024 Summary'!A216,Jan!$H$2:$H$1000)</f>
        <v>0</v>
      </c>
      <c r="C216" s="5">
        <f>SUMIF(Feb!$G$2:$G$1000,'2024 Summary'!A216,Feb!$H$2:$H$1000)</f>
        <v>0</v>
      </c>
      <c r="D216" s="5">
        <f>SUMIF(Mar!$G$2:$G$1000,'2024 Summary'!A216,Mar!$H$2:$H$1000)</f>
        <v>0</v>
      </c>
      <c r="E216" s="5">
        <f>SUMIF(Apr!$G$2:$G$1000,'2024 Summary'!A216,Apr!$H$2:$H$1000)</f>
        <v>0</v>
      </c>
      <c r="F216" s="5">
        <f>SUMIF(May!$G$2:$G$1000,'2024 Summary'!A216,May!$H$2:$H$1000)</f>
        <v>0</v>
      </c>
      <c r="G216" s="5">
        <f>SUMIF(Jun!$G$2:$G$1000,'2024 Summary'!A216,Jun!$H$2:$H$1000)</f>
        <v>0</v>
      </c>
      <c r="H216" s="5">
        <f>SUMIF(Jul!$G$2:$G$1000,'2024 Summary'!A216,Jul!$H$2:$H$1000)</f>
        <v>0</v>
      </c>
      <c r="I216" s="5">
        <f>SUMIF(Aug!$G$2:$G$1000,'2024 Summary'!A216,Aug!$H$2:$H$1000)</f>
        <v>0</v>
      </c>
      <c r="J216" s="5">
        <f>SUMIF(Sep!$G$2:$G$1000,'2024 Summary'!A216,Sep!$H$2:$H$1000)</f>
        <v>0</v>
      </c>
      <c r="K216" s="5">
        <f>SUMIF(Oct!$G$2:$G$1000,'2024 Summary'!A216,Oct!$H$2:$H$1000)</f>
        <v>0</v>
      </c>
      <c r="L216" s="5">
        <f>SUMIF(Nov!$G$2:$G$1000,'2024 Summary'!A216,Nov!$H$2:$H$1000)</f>
        <v>0</v>
      </c>
      <c r="M216" s="5">
        <f>SUMIF(Dec!$G$2:$G$1000,'2024 Summary'!A216,Dec!$H$2:$H$1000)</f>
        <v>0</v>
      </c>
      <c r="AA216" s="13">
        <f>Mar!G18</f>
        <v>0</v>
      </c>
    </row>
    <row r="217" spans="2:27" x14ac:dyDescent="0.25">
      <c r="B217" s="5">
        <f>SUMIF(Jan!$G$2:$G$1000,'2024 Summary'!A217,Jan!$H$2:$H$1000)</f>
        <v>0</v>
      </c>
      <c r="C217" s="5">
        <f>SUMIF(Feb!$G$2:$G$1000,'2024 Summary'!A217,Feb!$H$2:$H$1000)</f>
        <v>0</v>
      </c>
      <c r="D217" s="5">
        <f>SUMIF(Mar!$G$2:$G$1000,'2024 Summary'!A217,Mar!$H$2:$H$1000)</f>
        <v>0</v>
      </c>
      <c r="E217" s="5">
        <f>SUMIF(Apr!$G$2:$G$1000,'2024 Summary'!A217,Apr!$H$2:$H$1000)</f>
        <v>0</v>
      </c>
      <c r="F217" s="5">
        <f>SUMIF(May!$G$2:$G$1000,'2024 Summary'!A217,May!$H$2:$H$1000)</f>
        <v>0</v>
      </c>
      <c r="G217" s="5">
        <f>SUMIF(Jun!$G$2:$G$1000,'2024 Summary'!A217,Jun!$H$2:$H$1000)</f>
        <v>0</v>
      </c>
      <c r="H217" s="5">
        <f>SUMIF(Jul!$G$2:$G$1000,'2024 Summary'!A217,Jul!$H$2:$H$1000)</f>
        <v>0</v>
      </c>
      <c r="I217" s="5">
        <f>SUMIF(Aug!$G$2:$G$1000,'2024 Summary'!A217,Aug!$H$2:$H$1000)</f>
        <v>0</v>
      </c>
      <c r="J217" s="5">
        <f>SUMIF(Sep!$G$2:$G$1000,'2024 Summary'!A217,Sep!$H$2:$H$1000)</f>
        <v>0</v>
      </c>
      <c r="K217" s="5">
        <f>SUMIF(Oct!$G$2:$G$1000,'2024 Summary'!A217,Oct!$H$2:$H$1000)</f>
        <v>0</v>
      </c>
      <c r="L217" s="5">
        <f>SUMIF(Nov!$G$2:$G$1000,'2024 Summary'!A217,Nov!$H$2:$H$1000)</f>
        <v>0</v>
      </c>
      <c r="M217" s="5">
        <f>SUMIF(Dec!$G$2:$G$1000,'2024 Summary'!A217,Dec!$H$2:$H$1000)</f>
        <v>0</v>
      </c>
      <c r="AA217" s="13">
        <f>Mar!G19</f>
        <v>0</v>
      </c>
    </row>
    <row r="218" spans="2:27" x14ac:dyDescent="0.25">
      <c r="B218" s="5">
        <f>SUMIF(Jan!$G$2:$G$1000,'2024 Summary'!A218,Jan!$H$2:$H$1000)</f>
        <v>0</v>
      </c>
      <c r="C218" s="5">
        <f>SUMIF(Feb!$G$2:$G$1000,'2024 Summary'!A218,Feb!$H$2:$H$1000)</f>
        <v>0</v>
      </c>
      <c r="D218" s="5">
        <f>SUMIF(Mar!$G$2:$G$1000,'2024 Summary'!A218,Mar!$H$2:$H$1000)</f>
        <v>0</v>
      </c>
      <c r="E218" s="5">
        <f>SUMIF(Apr!$G$2:$G$1000,'2024 Summary'!A218,Apr!$H$2:$H$1000)</f>
        <v>0</v>
      </c>
      <c r="F218" s="5">
        <f>SUMIF(May!$G$2:$G$1000,'2024 Summary'!A218,May!$H$2:$H$1000)</f>
        <v>0</v>
      </c>
      <c r="G218" s="5">
        <f>SUMIF(Jun!$G$2:$G$1000,'2024 Summary'!A218,Jun!$H$2:$H$1000)</f>
        <v>0</v>
      </c>
      <c r="H218" s="5">
        <f>SUMIF(Jul!$G$2:$G$1000,'2024 Summary'!A218,Jul!$H$2:$H$1000)</f>
        <v>0</v>
      </c>
      <c r="I218" s="5">
        <f>SUMIF(Aug!$G$2:$G$1000,'2024 Summary'!A218,Aug!$H$2:$H$1000)</f>
        <v>0</v>
      </c>
      <c r="J218" s="5">
        <f>SUMIF(Sep!$G$2:$G$1000,'2024 Summary'!A218,Sep!$H$2:$H$1000)</f>
        <v>0</v>
      </c>
      <c r="K218" s="5">
        <f>SUMIF(Oct!$G$2:$G$1000,'2024 Summary'!A218,Oct!$H$2:$H$1000)</f>
        <v>0</v>
      </c>
      <c r="L218" s="5">
        <f>SUMIF(Nov!$G$2:$G$1000,'2024 Summary'!A218,Nov!$H$2:$H$1000)</f>
        <v>0</v>
      </c>
      <c r="M218" s="5">
        <f>SUMIF(Dec!$G$2:$G$1000,'2024 Summary'!A218,Dec!$H$2:$H$1000)</f>
        <v>0</v>
      </c>
      <c r="AA218" s="13">
        <f>Mar!G20</f>
        <v>0</v>
      </c>
    </row>
    <row r="219" spans="2:27" x14ac:dyDescent="0.25">
      <c r="B219" s="5">
        <f>SUMIF(Jan!$G$2:$G$1000,'2024 Summary'!A219,Jan!$H$2:$H$1000)</f>
        <v>0</v>
      </c>
      <c r="C219" s="5">
        <f>SUMIF(Feb!$G$2:$G$1000,'2024 Summary'!A219,Feb!$H$2:$H$1000)</f>
        <v>0</v>
      </c>
      <c r="D219" s="5">
        <f>SUMIF(Mar!$G$2:$G$1000,'2024 Summary'!A219,Mar!$H$2:$H$1000)</f>
        <v>0</v>
      </c>
      <c r="E219" s="5">
        <f>SUMIF(Apr!$G$2:$G$1000,'2024 Summary'!A219,Apr!$H$2:$H$1000)</f>
        <v>0</v>
      </c>
      <c r="F219" s="5">
        <f>SUMIF(May!$G$2:$G$1000,'2024 Summary'!A219,May!$H$2:$H$1000)</f>
        <v>0</v>
      </c>
      <c r="G219" s="5">
        <f>SUMIF(Jun!$G$2:$G$1000,'2024 Summary'!A219,Jun!$H$2:$H$1000)</f>
        <v>0</v>
      </c>
      <c r="H219" s="5">
        <f>SUMIF(Jul!$G$2:$G$1000,'2024 Summary'!A219,Jul!$H$2:$H$1000)</f>
        <v>0</v>
      </c>
      <c r="I219" s="5">
        <f>SUMIF(Aug!$G$2:$G$1000,'2024 Summary'!A219,Aug!$H$2:$H$1000)</f>
        <v>0</v>
      </c>
      <c r="J219" s="5">
        <f>SUMIF(Sep!$G$2:$G$1000,'2024 Summary'!A219,Sep!$H$2:$H$1000)</f>
        <v>0</v>
      </c>
      <c r="K219" s="5">
        <f>SUMIF(Oct!$G$2:$G$1000,'2024 Summary'!A219,Oct!$H$2:$H$1000)</f>
        <v>0</v>
      </c>
      <c r="L219" s="5">
        <f>SUMIF(Nov!$G$2:$G$1000,'2024 Summary'!A219,Nov!$H$2:$H$1000)</f>
        <v>0</v>
      </c>
      <c r="M219" s="5">
        <f>SUMIF(Dec!$G$2:$G$1000,'2024 Summary'!A219,Dec!$H$2:$H$1000)</f>
        <v>0</v>
      </c>
      <c r="AA219" s="13">
        <f>Mar!G21</f>
        <v>0</v>
      </c>
    </row>
    <row r="220" spans="2:27" x14ac:dyDescent="0.25">
      <c r="B220" s="5">
        <f>SUMIF(Jan!$G$2:$G$1000,'2024 Summary'!A220,Jan!$H$2:$H$1000)</f>
        <v>0</v>
      </c>
      <c r="C220" s="5">
        <f>SUMIF(Feb!$G$2:$G$1000,'2024 Summary'!A220,Feb!$H$2:$H$1000)</f>
        <v>0</v>
      </c>
      <c r="D220" s="5">
        <f>SUMIF(Mar!$G$2:$G$1000,'2024 Summary'!A220,Mar!$H$2:$H$1000)</f>
        <v>0</v>
      </c>
      <c r="E220" s="5">
        <f>SUMIF(Apr!$G$2:$G$1000,'2024 Summary'!A220,Apr!$H$2:$H$1000)</f>
        <v>0</v>
      </c>
      <c r="F220" s="5">
        <f>SUMIF(May!$G$2:$G$1000,'2024 Summary'!A220,May!$H$2:$H$1000)</f>
        <v>0</v>
      </c>
      <c r="G220" s="5">
        <f>SUMIF(Jun!$G$2:$G$1000,'2024 Summary'!A220,Jun!$H$2:$H$1000)</f>
        <v>0</v>
      </c>
      <c r="H220" s="5">
        <f>SUMIF(Jul!$G$2:$G$1000,'2024 Summary'!A220,Jul!$H$2:$H$1000)</f>
        <v>0</v>
      </c>
      <c r="I220" s="5">
        <f>SUMIF(Aug!$G$2:$G$1000,'2024 Summary'!A220,Aug!$H$2:$H$1000)</f>
        <v>0</v>
      </c>
      <c r="J220" s="5">
        <f>SUMIF(Sep!$G$2:$G$1000,'2024 Summary'!A220,Sep!$H$2:$H$1000)</f>
        <v>0</v>
      </c>
      <c r="K220" s="5">
        <f>SUMIF(Oct!$G$2:$G$1000,'2024 Summary'!A220,Oct!$H$2:$H$1000)</f>
        <v>0</v>
      </c>
      <c r="L220" s="5">
        <f>SUMIF(Nov!$G$2:$G$1000,'2024 Summary'!A220,Nov!$H$2:$H$1000)</f>
        <v>0</v>
      </c>
      <c r="M220" s="5">
        <f>SUMIF(Dec!$G$2:$G$1000,'2024 Summary'!A220,Dec!$H$2:$H$1000)</f>
        <v>0</v>
      </c>
      <c r="AA220" s="13">
        <f>Mar!G22</f>
        <v>0</v>
      </c>
    </row>
    <row r="221" spans="2:27" x14ac:dyDescent="0.25">
      <c r="B221" s="5">
        <f>SUMIF(Jan!$G$2:$G$1000,'2024 Summary'!A221,Jan!$H$2:$H$1000)</f>
        <v>0</v>
      </c>
      <c r="C221" s="5">
        <f>SUMIF(Feb!$G$2:$G$1000,'2024 Summary'!A221,Feb!$H$2:$H$1000)</f>
        <v>0</v>
      </c>
      <c r="D221" s="5">
        <f>SUMIF(Mar!$G$2:$G$1000,'2024 Summary'!A221,Mar!$H$2:$H$1000)</f>
        <v>0</v>
      </c>
      <c r="E221" s="5">
        <f>SUMIF(Apr!$G$2:$G$1000,'2024 Summary'!A221,Apr!$H$2:$H$1000)</f>
        <v>0</v>
      </c>
      <c r="F221" s="5">
        <f>SUMIF(May!$G$2:$G$1000,'2024 Summary'!A221,May!$H$2:$H$1000)</f>
        <v>0</v>
      </c>
      <c r="G221" s="5">
        <f>SUMIF(Jun!$G$2:$G$1000,'2024 Summary'!A221,Jun!$H$2:$H$1000)</f>
        <v>0</v>
      </c>
      <c r="H221" s="5">
        <f>SUMIF(Jul!$G$2:$G$1000,'2024 Summary'!A221,Jul!$H$2:$H$1000)</f>
        <v>0</v>
      </c>
      <c r="I221" s="5">
        <f>SUMIF(Aug!$G$2:$G$1000,'2024 Summary'!A221,Aug!$H$2:$H$1000)</f>
        <v>0</v>
      </c>
      <c r="J221" s="5">
        <f>SUMIF(Sep!$G$2:$G$1000,'2024 Summary'!A221,Sep!$H$2:$H$1000)</f>
        <v>0</v>
      </c>
      <c r="K221" s="5">
        <f>SUMIF(Oct!$G$2:$G$1000,'2024 Summary'!A221,Oct!$H$2:$H$1000)</f>
        <v>0</v>
      </c>
      <c r="L221" s="5">
        <f>SUMIF(Nov!$G$2:$G$1000,'2024 Summary'!A221,Nov!$H$2:$H$1000)</f>
        <v>0</v>
      </c>
      <c r="M221" s="5">
        <f>SUMIF(Dec!$G$2:$G$1000,'2024 Summary'!A221,Dec!$H$2:$H$1000)</f>
        <v>0</v>
      </c>
      <c r="AA221" s="13">
        <f>Mar!G23</f>
        <v>0</v>
      </c>
    </row>
    <row r="222" spans="2:27" x14ac:dyDescent="0.25">
      <c r="B222" s="5">
        <f>SUMIF(Jan!$G$2:$G$1000,'2024 Summary'!A222,Jan!$H$2:$H$1000)</f>
        <v>0</v>
      </c>
      <c r="C222" s="5">
        <f>SUMIF(Feb!$G$2:$G$1000,'2024 Summary'!A222,Feb!$H$2:$H$1000)</f>
        <v>0</v>
      </c>
      <c r="D222" s="5">
        <f>SUMIF(Mar!$G$2:$G$1000,'2024 Summary'!A222,Mar!$H$2:$H$1000)</f>
        <v>0</v>
      </c>
      <c r="E222" s="5">
        <f>SUMIF(Apr!$G$2:$G$1000,'2024 Summary'!A222,Apr!$H$2:$H$1000)</f>
        <v>0</v>
      </c>
      <c r="F222" s="5">
        <f>SUMIF(May!$G$2:$G$1000,'2024 Summary'!A222,May!$H$2:$H$1000)</f>
        <v>0</v>
      </c>
      <c r="G222" s="5">
        <f>SUMIF(Jun!$G$2:$G$1000,'2024 Summary'!A222,Jun!$H$2:$H$1000)</f>
        <v>0</v>
      </c>
      <c r="H222" s="5">
        <f>SUMIF(Jul!$G$2:$G$1000,'2024 Summary'!A222,Jul!$H$2:$H$1000)</f>
        <v>0</v>
      </c>
      <c r="I222" s="5">
        <f>SUMIF(Aug!$G$2:$G$1000,'2024 Summary'!A222,Aug!$H$2:$H$1000)</f>
        <v>0</v>
      </c>
      <c r="J222" s="5">
        <f>SUMIF(Sep!$G$2:$G$1000,'2024 Summary'!A222,Sep!$H$2:$H$1000)</f>
        <v>0</v>
      </c>
      <c r="K222" s="5">
        <f>SUMIF(Oct!$G$2:$G$1000,'2024 Summary'!A222,Oct!$H$2:$H$1000)</f>
        <v>0</v>
      </c>
      <c r="L222" s="5">
        <f>SUMIF(Nov!$G$2:$G$1000,'2024 Summary'!A222,Nov!$H$2:$H$1000)</f>
        <v>0</v>
      </c>
      <c r="M222" s="5">
        <f>SUMIF(Dec!$G$2:$G$1000,'2024 Summary'!A222,Dec!$H$2:$H$1000)</f>
        <v>0</v>
      </c>
      <c r="AA222" s="13">
        <f>Mar!G24</f>
        <v>0</v>
      </c>
    </row>
    <row r="223" spans="2:27" x14ac:dyDescent="0.25">
      <c r="B223" s="5">
        <f>SUMIF(Jan!$G$2:$G$1000,'2024 Summary'!A223,Jan!$H$2:$H$1000)</f>
        <v>0</v>
      </c>
      <c r="C223" s="5">
        <f>SUMIF(Feb!$G$2:$G$1000,'2024 Summary'!A223,Feb!$H$2:$H$1000)</f>
        <v>0</v>
      </c>
      <c r="D223" s="5">
        <f>SUMIF(Mar!$G$2:$G$1000,'2024 Summary'!A223,Mar!$H$2:$H$1000)</f>
        <v>0</v>
      </c>
      <c r="E223" s="5">
        <f>SUMIF(Apr!$G$2:$G$1000,'2024 Summary'!A223,Apr!$H$2:$H$1000)</f>
        <v>0</v>
      </c>
      <c r="F223" s="5">
        <f>SUMIF(May!$G$2:$G$1000,'2024 Summary'!A223,May!$H$2:$H$1000)</f>
        <v>0</v>
      </c>
      <c r="G223" s="5">
        <f>SUMIF(Jun!$G$2:$G$1000,'2024 Summary'!A223,Jun!$H$2:$H$1000)</f>
        <v>0</v>
      </c>
      <c r="H223" s="5">
        <f>SUMIF(Jul!$G$2:$G$1000,'2024 Summary'!A223,Jul!$H$2:$H$1000)</f>
        <v>0</v>
      </c>
      <c r="I223" s="5">
        <f>SUMIF(Aug!$G$2:$G$1000,'2024 Summary'!A223,Aug!$H$2:$H$1000)</f>
        <v>0</v>
      </c>
      <c r="J223" s="5">
        <f>SUMIF(Sep!$G$2:$G$1000,'2024 Summary'!A223,Sep!$H$2:$H$1000)</f>
        <v>0</v>
      </c>
      <c r="K223" s="5">
        <f>SUMIF(Oct!$G$2:$G$1000,'2024 Summary'!A223,Oct!$H$2:$H$1000)</f>
        <v>0</v>
      </c>
      <c r="L223" s="5">
        <f>SUMIF(Nov!$G$2:$G$1000,'2024 Summary'!A223,Nov!$H$2:$H$1000)</f>
        <v>0</v>
      </c>
      <c r="M223" s="5">
        <f>SUMIF(Dec!$G$2:$G$1000,'2024 Summary'!A223,Dec!$H$2:$H$1000)</f>
        <v>0</v>
      </c>
      <c r="AA223" s="13">
        <f>Mar!G25</f>
        <v>0</v>
      </c>
    </row>
    <row r="224" spans="2:27" x14ac:dyDescent="0.25">
      <c r="B224" s="5">
        <f>SUMIF(Jan!$G$2:$G$1000,'2024 Summary'!A224,Jan!$H$2:$H$1000)</f>
        <v>0</v>
      </c>
      <c r="C224" s="5">
        <f>SUMIF(Feb!$G$2:$G$1000,'2024 Summary'!A224,Feb!$H$2:$H$1000)</f>
        <v>0</v>
      </c>
      <c r="D224" s="5">
        <f>SUMIF(Mar!$G$2:$G$1000,'2024 Summary'!A224,Mar!$H$2:$H$1000)</f>
        <v>0</v>
      </c>
      <c r="E224" s="5">
        <f>SUMIF(Apr!$G$2:$G$1000,'2024 Summary'!A224,Apr!$H$2:$H$1000)</f>
        <v>0</v>
      </c>
      <c r="F224" s="5">
        <f>SUMIF(May!$G$2:$G$1000,'2024 Summary'!A224,May!$H$2:$H$1000)</f>
        <v>0</v>
      </c>
      <c r="G224" s="5">
        <f>SUMIF(Jun!$G$2:$G$1000,'2024 Summary'!A224,Jun!$H$2:$H$1000)</f>
        <v>0</v>
      </c>
      <c r="H224" s="5">
        <f>SUMIF(Jul!$G$2:$G$1000,'2024 Summary'!A224,Jul!$H$2:$H$1000)</f>
        <v>0</v>
      </c>
      <c r="I224" s="5">
        <f>SUMIF(Aug!$G$2:$G$1000,'2024 Summary'!A224,Aug!$H$2:$H$1000)</f>
        <v>0</v>
      </c>
      <c r="J224" s="5">
        <f>SUMIF(Sep!$G$2:$G$1000,'2024 Summary'!A224,Sep!$H$2:$H$1000)</f>
        <v>0</v>
      </c>
      <c r="K224" s="5">
        <f>SUMIF(Oct!$G$2:$G$1000,'2024 Summary'!A224,Oct!$H$2:$H$1000)</f>
        <v>0</v>
      </c>
      <c r="L224" s="5">
        <f>SUMIF(Nov!$G$2:$G$1000,'2024 Summary'!A224,Nov!$H$2:$H$1000)</f>
        <v>0</v>
      </c>
      <c r="M224" s="5">
        <f>SUMIF(Dec!$G$2:$G$1000,'2024 Summary'!A224,Dec!$H$2:$H$1000)</f>
        <v>0</v>
      </c>
      <c r="AA224" s="13">
        <f>Mar!G26</f>
        <v>0</v>
      </c>
    </row>
    <row r="225" spans="2:27" x14ac:dyDescent="0.25">
      <c r="B225" s="5">
        <f>SUMIF(Jan!$G$2:$G$1000,'2024 Summary'!A225,Jan!$H$2:$H$1000)</f>
        <v>0</v>
      </c>
      <c r="C225" s="5">
        <f>SUMIF(Feb!$G$2:$G$1000,'2024 Summary'!A225,Feb!$H$2:$H$1000)</f>
        <v>0</v>
      </c>
      <c r="D225" s="5">
        <f>SUMIF(Mar!$G$2:$G$1000,'2024 Summary'!A225,Mar!$H$2:$H$1000)</f>
        <v>0</v>
      </c>
      <c r="E225" s="5">
        <f>SUMIF(Apr!$G$2:$G$1000,'2024 Summary'!A225,Apr!$H$2:$H$1000)</f>
        <v>0</v>
      </c>
      <c r="F225" s="5">
        <f>SUMIF(May!$G$2:$G$1000,'2024 Summary'!A225,May!$H$2:$H$1000)</f>
        <v>0</v>
      </c>
      <c r="G225" s="5">
        <f>SUMIF(Jun!$G$2:$G$1000,'2024 Summary'!A225,Jun!$H$2:$H$1000)</f>
        <v>0</v>
      </c>
      <c r="H225" s="5">
        <f>SUMIF(Jul!$G$2:$G$1000,'2024 Summary'!A225,Jul!$H$2:$H$1000)</f>
        <v>0</v>
      </c>
      <c r="I225" s="5">
        <f>SUMIF(Aug!$G$2:$G$1000,'2024 Summary'!A225,Aug!$H$2:$H$1000)</f>
        <v>0</v>
      </c>
      <c r="J225" s="5">
        <f>SUMIF(Sep!$G$2:$G$1000,'2024 Summary'!A225,Sep!$H$2:$H$1000)</f>
        <v>0</v>
      </c>
      <c r="K225" s="5">
        <f>SUMIF(Oct!$G$2:$G$1000,'2024 Summary'!A225,Oct!$H$2:$H$1000)</f>
        <v>0</v>
      </c>
      <c r="L225" s="5">
        <f>SUMIF(Nov!$G$2:$G$1000,'2024 Summary'!A225,Nov!$H$2:$H$1000)</f>
        <v>0</v>
      </c>
      <c r="M225" s="5">
        <f>SUMIF(Dec!$G$2:$G$1000,'2024 Summary'!A225,Dec!$H$2:$H$1000)</f>
        <v>0</v>
      </c>
      <c r="AA225" s="13">
        <f>Mar!G27</f>
        <v>0</v>
      </c>
    </row>
    <row r="226" spans="2:27" x14ac:dyDescent="0.25">
      <c r="B226" s="5">
        <f>SUMIF(Jan!$G$2:$G$1000,'2024 Summary'!A226,Jan!$H$2:$H$1000)</f>
        <v>0</v>
      </c>
      <c r="C226" s="5">
        <f>SUMIF(Feb!$G$2:$G$1000,'2024 Summary'!A226,Feb!$H$2:$H$1000)</f>
        <v>0</v>
      </c>
      <c r="D226" s="5">
        <f>SUMIF(Mar!$G$2:$G$1000,'2024 Summary'!A226,Mar!$H$2:$H$1000)</f>
        <v>0</v>
      </c>
      <c r="E226" s="5">
        <f>SUMIF(Apr!$G$2:$G$1000,'2024 Summary'!A226,Apr!$H$2:$H$1000)</f>
        <v>0</v>
      </c>
      <c r="F226" s="5">
        <f>SUMIF(May!$G$2:$G$1000,'2024 Summary'!A226,May!$H$2:$H$1000)</f>
        <v>0</v>
      </c>
      <c r="G226" s="5">
        <f>SUMIF(Jun!$G$2:$G$1000,'2024 Summary'!A226,Jun!$H$2:$H$1000)</f>
        <v>0</v>
      </c>
      <c r="H226" s="5">
        <f>SUMIF(Jul!$G$2:$G$1000,'2024 Summary'!A226,Jul!$H$2:$H$1000)</f>
        <v>0</v>
      </c>
      <c r="I226" s="5">
        <f>SUMIF(Aug!$G$2:$G$1000,'2024 Summary'!A226,Aug!$H$2:$H$1000)</f>
        <v>0</v>
      </c>
      <c r="J226" s="5">
        <f>SUMIF(Sep!$G$2:$G$1000,'2024 Summary'!A226,Sep!$H$2:$H$1000)</f>
        <v>0</v>
      </c>
      <c r="K226" s="5">
        <f>SUMIF(Oct!$G$2:$G$1000,'2024 Summary'!A226,Oct!$H$2:$H$1000)</f>
        <v>0</v>
      </c>
      <c r="L226" s="5">
        <f>SUMIF(Nov!$G$2:$G$1000,'2024 Summary'!A226,Nov!$H$2:$H$1000)</f>
        <v>0</v>
      </c>
      <c r="M226" s="5">
        <f>SUMIF(Dec!$G$2:$G$1000,'2024 Summary'!A226,Dec!$H$2:$H$1000)</f>
        <v>0</v>
      </c>
      <c r="AA226" s="13">
        <f>Mar!G28</f>
        <v>0</v>
      </c>
    </row>
    <row r="227" spans="2:27" x14ac:dyDescent="0.25">
      <c r="B227" s="5">
        <f>SUMIF(Jan!$G$2:$G$1000,'2024 Summary'!A227,Jan!$H$2:$H$1000)</f>
        <v>0</v>
      </c>
      <c r="C227" s="5">
        <f>SUMIF(Feb!$G$2:$G$1000,'2024 Summary'!A227,Feb!$H$2:$H$1000)</f>
        <v>0</v>
      </c>
      <c r="D227" s="5">
        <f>SUMIF(Mar!$G$2:$G$1000,'2024 Summary'!A227,Mar!$H$2:$H$1000)</f>
        <v>0</v>
      </c>
      <c r="E227" s="5">
        <f>SUMIF(Apr!$G$2:$G$1000,'2024 Summary'!A227,Apr!$H$2:$H$1000)</f>
        <v>0</v>
      </c>
      <c r="F227" s="5">
        <f>SUMIF(May!$G$2:$G$1000,'2024 Summary'!A227,May!$H$2:$H$1000)</f>
        <v>0</v>
      </c>
      <c r="G227" s="5">
        <f>SUMIF(Jun!$G$2:$G$1000,'2024 Summary'!A227,Jun!$H$2:$H$1000)</f>
        <v>0</v>
      </c>
      <c r="H227" s="5">
        <f>SUMIF(Jul!$G$2:$G$1000,'2024 Summary'!A227,Jul!$H$2:$H$1000)</f>
        <v>0</v>
      </c>
      <c r="I227" s="5">
        <f>SUMIF(Aug!$G$2:$G$1000,'2024 Summary'!A227,Aug!$H$2:$H$1000)</f>
        <v>0</v>
      </c>
      <c r="J227" s="5">
        <f>SUMIF(Sep!$G$2:$G$1000,'2024 Summary'!A227,Sep!$H$2:$H$1000)</f>
        <v>0</v>
      </c>
      <c r="K227" s="5">
        <f>SUMIF(Oct!$G$2:$G$1000,'2024 Summary'!A227,Oct!$H$2:$H$1000)</f>
        <v>0</v>
      </c>
      <c r="L227" s="5">
        <f>SUMIF(Nov!$G$2:$G$1000,'2024 Summary'!A227,Nov!$H$2:$H$1000)</f>
        <v>0</v>
      </c>
      <c r="M227" s="5">
        <f>SUMIF(Dec!$G$2:$G$1000,'2024 Summary'!A227,Dec!$H$2:$H$1000)</f>
        <v>0</v>
      </c>
      <c r="AA227" s="13">
        <f>Mar!G29</f>
        <v>0</v>
      </c>
    </row>
    <row r="228" spans="2:27" x14ac:dyDescent="0.25">
      <c r="B228" s="5">
        <f>SUMIF(Jan!$G$2:$G$1000,'2024 Summary'!A228,Jan!$H$2:$H$1000)</f>
        <v>0</v>
      </c>
      <c r="C228" s="5">
        <f>SUMIF(Feb!$G$2:$G$1000,'2024 Summary'!A228,Feb!$H$2:$H$1000)</f>
        <v>0</v>
      </c>
      <c r="D228" s="5">
        <f>SUMIF(Mar!$G$2:$G$1000,'2024 Summary'!A228,Mar!$H$2:$H$1000)</f>
        <v>0</v>
      </c>
      <c r="E228" s="5">
        <f>SUMIF(Apr!$G$2:$G$1000,'2024 Summary'!A228,Apr!$H$2:$H$1000)</f>
        <v>0</v>
      </c>
      <c r="F228" s="5">
        <f>SUMIF(May!$G$2:$G$1000,'2024 Summary'!A228,May!$H$2:$H$1000)</f>
        <v>0</v>
      </c>
      <c r="G228" s="5">
        <f>SUMIF(Jun!$G$2:$G$1000,'2024 Summary'!A228,Jun!$H$2:$H$1000)</f>
        <v>0</v>
      </c>
      <c r="H228" s="5">
        <f>SUMIF(Jul!$G$2:$G$1000,'2024 Summary'!A228,Jul!$H$2:$H$1000)</f>
        <v>0</v>
      </c>
      <c r="I228" s="5">
        <f>SUMIF(Aug!$G$2:$G$1000,'2024 Summary'!A228,Aug!$H$2:$H$1000)</f>
        <v>0</v>
      </c>
      <c r="J228" s="5">
        <f>SUMIF(Sep!$G$2:$G$1000,'2024 Summary'!A228,Sep!$H$2:$H$1000)</f>
        <v>0</v>
      </c>
      <c r="K228" s="5">
        <f>SUMIF(Oct!$G$2:$G$1000,'2024 Summary'!A228,Oct!$H$2:$H$1000)</f>
        <v>0</v>
      </c>
      <c r="L228" s="5">
        <f>SUMIF(Nov!$G$2:$G$1000,'2024 Summary'!A228,Nov!$H$2:$H$1000)</f>
        <v>0</v>
      </c>
      <c r="M228" s="5">
        <f>SUMIF(Dec!$G$2:$G$1000,'2024 Summary'!A228,Dec!$H$2:$H$1000)</f>
        <v>0</v>
      </c>
      <c r="AA228" s="13">
        <f>Mar!G30</f>
        <v>0</v>
      </c>
    </row>
    <row r="229" spans="2:27" x14ac:dyDescent="0.25">
      <c r="B229" s="5">
        <f>SUMIF(Jan!$G$2:$G$1000,'2024 Summary'!A229,Jan!$H$2:$H$1000)</f>
        <v>0</v>
      </c>
      <c r="C229" s="5">
        <f>SUMIF(Feb!$G$2:$G$1000,'2024 Summary'!A229,Feb!$H$2:$H$1000)</f>
        <v>0</v>
      </c>
      <c r="D229" s="5">
        <f>SUMIF(Mar!$G$2:$G$1000,'2024 Summary'!A229,Mar!$H$2:$H$1000)</f>
        <v>0</v>
      </c>
      <c r="E229" s="5">
        <f>SUMIF(Apr!$G$2:$G$1000,'2024 Summary'!A229,Apr!$H$2:$H$1000)</f>
        <v>0</v>
      </c>
      <c r="F229" s="5">
        <f>SUMIF(May!$G$2:$G$1000,'2024 Summary'!A229,May!$H$2:$H$1000)</f>
        <v>0</v>
      </c>
      <c r="G229" s="5">
        <f>SUMIF(Jun!$G$2:$G$1000,'2024 Summary'!A229,Jun!$H$2:$H$1000)</f>
        <v>0</v>
      </c>
      <c r="H229" s="5">
        <f>SUMIF(Jul!$G$2:$G$1000,'2024 Summary'!A229,Jul!$H$2:$H$1000)</f>
        <v>0</v>
      </c>
      <c r="I229" s="5">
        <f>SUMIF(Aug!$G$2:$G$1000,'2024 Summary'!A229,Aug!$H$2:$H$1000)</f>
        <v>0</v>
      </c>
      <c r="J229" s="5">
        <f>SUMIF(Sep!$G$2:$G$1000,'2024 Summary'!A229,Sep!$H$2:$H$1000)</f>
        <v>0</v>
      </c>
      <c r="K229" s="5">
        <f>SUMIF(Oct!$G$2:$G$1000,'2024 Summary'!A229,Oct!$H$2:$H$1000)</f>
        <v>0</v>
      </c>
      <c r="L229" s="5">
        <f>SUMIF(Nov!$G$2:$G$1000,'2024 Summary'!A229,Nov!$H$2:$H$1000)</f>
        <v>0</v>
      </c>
      <c r="M229" s="5">
        <f>SUMIF(Dec!$G$2:$G$1000,'2024 Summary'!A229,Dec!$H$2:$H$1000)</f>
        <v>0</v>
      </c>
      <c r="AA229" s="13">
        <f>Mar!G31</f>
        <v>0</v>
      </c>
    </row>
    <row r="230" spans="2:27" x14ac:dyDescent="0.25">
      <c r="B230" s="5">
        <f>SUMIF(Jan!$G$2:$G$1000,'2024 Summary'!A230,Jan!$H$2:$H$1000)</f>
        <v>0</v>
      </c>
      <c r="C230" s="5">
        <f>SUMIF(Feb!$G$2:$G$1000,'2024 Summary'!A230,Feb!$H$2:$H$1000)</f>
        <v>0</v>
      </c>
      <c r="D230" s="5">
        <f>SUMIF(Mar!$G$2:$G$1000,'2024 Summary'!A230,Mar!$H$2:$H$1000)</f>
        <v>0</v>
      </c>
      <c r="E230" s="5">
        <f>SUMIF(Apr!$G$2:$G$1000,'2024 Summary'!A230,Apr!$H$2:$H$1000)</f>
        <v>0</v>
      </c>
      <c r="F230" s="5">
        <f>SUMIF(May!$G$2:$G$1000,'2024 Summary'!A230,May!$H$2:$H$1000)</f>
        <v>0</v>
      </c>
      <c r="G230" s="5">
        <f>SUMIF(Jun!$G$2:$G$1000,'2024 Summary'!A230,Jun!$H$2:$H$1000)</f>
        <v>0</v>
      </c>
      <c r="H230" s="5">
        <f>SUMIF(Jul!$G$2:$G$1000,'2024 Summary'!A230,Jul!$H$2:$H$1000)</f>
        <v>0</v>
      </c>
      <c r="I230" s="5">
        <f>SUMIF(Aug!$G$2:$G$1000,'2024 Summary'!A230,Aug!$H$2:$H$1000)</f>
        <v>0</v>
      </c>
      <c r="J230" s="5">
        <f>SUMIF(Sep!$G$2:$G$1000,'2024 Summary'!A230,Sep!$H$2:$H$1000)</f>
        <v>0</v>
      </c>
      <c r="K230" s="5">
        <f>SUMIF(Oct!$G$2:$G$1000,'2024 Summary'!A230,Oct!$H$2:$H$1000)</f>
        <v>0</v>
      </c>
      <c r="L230" s="5">
        <f>SUMIF(Nov!$G$2:$G$1000,'2024 Summary'!A230,Nov!$H$2:$H$1000)</f>
        <v>0</v>
      </c>
      <c r="M230" s="5">
        <f>SUMIF(Dec!$G$2:$G$1000,'2024 Summary'!A230,Dec!$H$2:$H$1000)</f>
        <v>0</v>
      </c>
      <c r="AA230" s="13">
        <f>Mar!G32</f>
        <v>0</v>
      </c>
    </row>
    <row r="231" spans="2:27" x14ac:dyDescent="0.25">
      <c r="B231" s="5">
        <f>SUMIF(Jan!$G$2:$G$1000,'2024 Summary'!A231,Jan!$H$2:$H$1000)</f>
        <v>0</v>
      </c>
      <c r="C231" s="5">
        <f>SUMIF(Feb!$G$2:$G$1000,'2024 Summary'!A231,Feb!$H$2:$H$1000)</f>
        <v>0</v>
      </c>
      <c r="D231" s="5">
        <f>SUMIF(Mar!$G$2:$G$1000,'2024 Summary'!A231,Mar!$H$2:$H$1000)</f>
        <v>0</v>
      </c>
      <c r="E231" s="5">
        <f>SUMIF(Apr!$G$2:$G$1000,'2024 Summary'!A231,Apr!$H$2:$H$1000)</f>
        <v>0</v>
      </c>
      <c r="F231" s="5">
        <f>SUMIF(May!$G$2:$G$1000,'2024 Summary'!A231,May!$H$2:$H$1000)</f>
        <v>0</v>
      </c>
      <c r="G231" s="5">
        <f>SUMIF(Jun!$G$2:$G$1000,'2024 Summary'!A231,Jun!$H$2:$H$1000)</f>
        <v>0</v>
      </c>
      <c r="H231" s="5">
        <f>SUMIF(Jul!$G$2:$G$1000,'2024 Summary'!A231,Jul!$H$2:$H$1000)</f>
        <v>0</v>
      </c>
      <c r="I231" s="5">
        <f>SUMIF(Aug!$G$2:$G$1000,'2024 Summary'!A231,Aug!$H$2:$H$1000)</f>
        <v>0</v>
      </c>
      <c r="J231" s="5">
        <f>SUMIF(Sep!$G$2:$G$1000,'2024 Summary'!A231,Sep!$H$2:$H$1000)</f>
        <v>0</v>
      </c>
      <c r="K231" s="5">
        <f>SUMIF(Oct!$G$2:$G$1000,'2024 Summary'!A231,Oct!$H$2:$H$1000)</f>
        <v>0</v>
      </c>
      <c r="L231" s="5">
        <f>SUMIF(Nov!$G$2:$G$1000,'2024 Summary'!A231,Nov!$H$2:$H$1000)</f>
        <v>0</v>
      </c>
      <c r="M231" s="5">
        <f>SUMIF(Dec!$G$2:$G$1000,'2024 Summary'!A231,Dec!$H$2:$H$1000)</f>
        <v>0</v>
      </c>
      <c r="AA231" s="13">
        <f>Mar!G33</f>
        <v>0</v>
      </c>
    </row>
    <row r="232" spans="2:27" x14ac:dyDescent="0.25">
      <c r="B232" s="5">
        <f>SUMIF(Jan!$G$2:$G$1000,'2024 Summary'!A232,Jan!$H$2:$H$1000)</f>
        <v>0</v>
      </c>
      <c r="C232" s="5">
        <f>SUMIF(Feb!$G$2:$G$1000,'2024 Summary'!A232,Feb!$H$2:$H$1000)</f>
        <v>0</v>
      </c>
      <c r="D232" s="5">
        <f>SUMIF(Mar!$G$2:$G$1000,'2024 Summary'!A232,Mar!$H$2:$H$1000)</f>
        <v>0</v>
      </c>
      <c r="E232" s="5">
        <f>SUMIF(Apr!$G$2:$G$1000,'2024 Summary'!A232,Apr!$H$2:$H$1000)</f>
        <v>0</v>
      </c>
      <c r="F232" s="5">
        <f>SUMIF(May!$G$2:$G$1000,'2024 Summary'!A232,May!$H$2:$H$1000)</f>
        <v>0</v>
      </c>
      <c r="G232" s="5">
        <f>SUMIF(Jun!$G$2:$G$1000,'2024 Summary'!A232,Jun!$H$2:$H$1000)</f>
        <v>0</v>
      </c>
      <c r="H232" s="5">
        <f>SUMIF(Jul!$G$2:$G$1000,'2024 Summary'!A232,Jul!$H$2:$H$1000)</f>
        <v>0</v>
      </c>
      <c r="I232" s="5">
        <f>SUMIF(Aug!$G$2:$G$1000,'2024 Summary'!A232,Aug!$H$2:$H$1000)</f>
        <v>0</v>
      </c>
      <c r="J232" s="5">
        <f>SUMIF(Sep!$G$2:$G$1000,'2024 Summary'!A232,Sep!$H$2:$H$1000)</f>
        <v>0</v>
      </c>
      <c r="K232" s="5">
        <f>SUMIF(Oct!$G$2:$G$1000,'2024 Summary'!A232,Oct!$H$2:$H$1000)</f>
        <v>0</v>
      </c>
      <c r="L232" s="5">
        <f>SUMIF(Nov!$G$2:$G$1000,'2024 Summary'!A232,Nov!$H$2:$H$1000)</f>
        <v>0</v>
      </c>
      <c r="M232" s="5">
        <f>SUMIF(Dec!$G$2:$G$1000,'2024 Summary'!A232,Dec!$H$2:$H$1000)</f>
        <v>0</v>
      </c>
      <c r="AA232" s="13">
        <f>Mar!G34</f>
        <v>0</v>
      </c>
    </row>
    <row r="233" spans="2:27" x14ac:dyDescent="0.25">
      <c r="B233" s="5">
        <f>SUMIF(Jan!$G$2:$G$1000,'2024 Summary'!A233,Jan!$H$2:$H$1000)</f>
        <v>0</v>
      </c>
      <c r="C233" s="5">
        <f>SUMIF(Feb!$G$2:$G$1000,'2024 Summary'!A233,Feb!$H$2:$H$1000)</f>
        <v>0</v>
      </c>
      <c r="D233" s="5">
        <f>SUMIF(Mar!$G$2:$G$1000,'2024 Summary'!A233,Mar!$H$2:$H$1000)</f>
        <v>0</v>
      </c>
      <c r="E233" s="5">
        <f>SUMIF(Apr!$G$2:$G$1000,'2024 Summary'!A233,Apr!$H$2:$H$1000)</f>
        <v>0</v>
      </c>
      <c r="F233" s="5">
        <f>SUMIF(May!$G$2:$G$1000,'2024 Summary'!A233,May!$H$2:$H$1000)</f>
        <v>0</v>
      </c>
      <c r="G233" s="5">
        <f>SUMIF(Jun!$G$2:$G$1000,'2024 Summary'!A233,Jun!$H$2:$H$1000)</f>
        <v>0</v>
      </c>
      <c r="H233" s="5">
        <f>SUMIF(Jul!$G$2:$G$1000,'2024 Summary'!A233,Jul!$H$2:$H$1000)</f>
        <v>0</v>
      </c>
      <c r="I233" s="5">
        <f>SUMIF(Aug!$G$2:$G$1000,'2024 Summary'!A233,Aug!$H$2:$H$1000)</f>
        <v>0</v>
      </c>
      <c r="J233" s="5">
        <f>SUMIF(Sep!$G$2:$G$1000,'2024 Summary'!A233,Sep!$H$2:$H$1000)</f>
        <v>0</v>
      </c>
      <c r="K233" s="5">
        <f>SUMIF(Oct!$G$2:$G$1000,'2024 Summary'!A233,Oct!$H$2:$H$1000)</f>
        <v>0</v>
      </c>
      <c r="L233" s="5">
        <f>SUMIF(Nov!$G$2:$G$1000,'2024 Summary'!A233,Nov!$H$2:$H$1000)</f>
        <v>0</v>
      </c>
      <c r="M233" s="5">
        <f>SUMIF(Dec!$G$2:$G$1000,'2024 Summary'!A233,Dec!$H$2:$H$1000)</f>
        <v>0</v>
      </c>
      <c r="AA233" s="13">
        <f>Mar!G35</f>
        <v>0</v>
      </c>
    </row>
    <row r="234" spans="2:27" x14ac:dyDescent="0.25">
      <c r="B234" s="5">
        <f>SUMIF(Jan!$G$2:$G$1000,'2024 Summary'!A234,Jan!$H$2:$H$1000)</f>
        <v>0</v>
      </c>
      <c r="C234" s="5">
        <f>SUMIF(Feb!$G$2:$G$1000,'2024 Summary'!A234,Feb!$H$2:$H$1000)</f>
        <v>0</v>
      </c>
      <c r="D234" s="5">
        <f>SUMIF(Mar!$G$2:$G$1000,'2024 Summary'!A234,Mar!$H$2:$H$1000)</f>
        <v>0</v>
      </c>
      <c r="E234" s="5">
        <f>SUMIF(Apr!$G$2:$G$1000,'2024 Summary'!A234,Apr!$H$2:$H$1000)</f>
        <v>0</v>
      </c>
      <c r="F234" s="5">
        <f>SUMIF(May!$G$2:$G$1000,'2024 Summary'!A234,May!$H$2:$H$1000)</f>
        <v>0</v>
      </c>
      <c r="G234" s="5">
        <f>SUMIF(Jun!$G$2:$G$1000,'2024 Summary'!A234,Jun!$H$2:$H$1000)</f>
        <v>0</v>
      </c>
      <c r="H234" s="5">
        <f>SUMIF(Jul!$G$2:$G$1000,'2024 Summary'!A234,Jul!$H$2:$H$1000)</f>
        <v>0</v>
      </c>
      <c r="I234" s="5">
        <f>SUMIF(Aug!$G$2:$G$1000,'2024 Summary'!A234,Aug!$H$2:$H$1000)</f>
        <v>0</v>
      </c>
      <c r="J234" s="5">
        <f>SUMIF(Sep!$G$2:$G$1000,'2024 Summary'!A234,Sep!$H$2:$H$1000)</f>
        <v>0</v>
      </c>
      <c r="K234" s="5">
        <f>SUMIF(Oct!$G$2:$G$1000,'2024 Summary'!A234,Oct!$H$2:$H$1000)</f>
        <v>0</v>
      </c>
      <c r="L234" s="5">
        <f>SUMIF(Nov!$G$2:$G$1000,'2024 Summary'!A234,Nov!$H$2:$H$1000)</f>
        <v>0</v>
      </c>
      <c r="M234" s="5">
        <f>SUMIF(Dec!$G$2:$G$1000,'2024 Summary'!A234,Dec!$H$2:$H$1000)</f>
        <v>0</v>
      </c>
      <c r="AA234" s="13">
        <f>Mar!G36</f>
        <v>0</v>
      </c>
    </row>
    <row r="235" spans="2:27" x14ac:dyDescent="0.25">
      <c r="B235" s="5">
        <f>SUMIF(Jan!$G$2:$G$1000,'2024 Summary'!A235,Jan!$H$2:$H$1000)</f>
        <v>0</v>
      </c>
      <c r="C235" s="5">
        <f>SUMIF(Feb!$G$2:$G$1000,'2024 Summary'!A235,Feb!$H$2:$H$1000)</f>
        <v>0</v>
      </c>
      <c r="D235" s="5">
        <f>SUMIF(Mar!$G$2:$G$1000,'2024 Summary'!A235,Mar!$H$2:$H$1000)</f>
        <v>0</v>
      </c>
      <c r="E235" s="5">
        <f>SUMIF(Apr!$G$2:$G$1000,'2024 Summary'!A235,Apr!$H$2:$H$1000)</f>
        <v>0</v>
      </c>
      <c r="F235" s="5">
        <f>SUMIF(May!$G$2:$G$1000,'2024 Summary'!A235,May!$H$2:$H$1000)</f>
        <v>0</v>
      </c>
      <c r="G235" s="5">
        <f>SUMIF(Jun!$G$2:$G$1000,'2024 Summary'!A235,Jun!$H$2:$H$1000)</f>
        <v>0</v>
      </c>
      <c r="H235" s="5">
        <f>SUMIF(Jul!$G$2:$G$1000,'2024 Summary'!A235,Jul!$H$2:$H$1000)</f>
        <v>0</v>
      </c>
      <c r="I235" s="5">
        <f>SUMIF(Aug!$G$2:$G$1000,'2024 Summary'!A235,Aug!$H$2:$H$1000)</f>
        <v>0</v>
      </c>
      <c r="J235" s="5">
        <f>SUMIF(Sep!$G$2:$G$1000,'2024 Summary'!A235,Sep!$H$2:$H$1000)</f>
        <v>0</v>
      </c>
      <c r="K235" s="5">
        <f>SUMIF(Oct!$G$2:$G$1000,'2024 Summary'!A235,Oct!$H$2:$H$1000)</f>
        <v>0</v>
      </c>
      <c r="L235" s="5">
        <f>SUMIF(Nov!$G$2:$G$1000,'2024 Summary'!A235,Nov!$H$2:$H$1000)</f>
        <v>0</v>
      </c>
      <c r="M235" s="5">
        <f>SUMIF(Dec!$G$2:$G$1000,'2024 Summary'!A235,Dec!$H$2:$H$1000)</f>
        <v>0</v>
      </c>
      <c r="AA235" s="13">
        <f>Mar!G37</f>
        <v>0</v>
      </c>
    </row>
    <row r="236" spans="2:27" x14ac:dyDescent="0.25">
      <c r="B236" s="5">
        <f>SUMIF(Jan!$G$2:$G$1000,'2024 Summary'!A236,Jan!$H$2:$H$1000)</f>
        <v>0</v>
      </c>
      <c r="C236" s="5">
        <f>SUMIF(Feb!$G$2:$G$1000,'2024 Summary'!A236,Feb!$H$2:$H$1000)</f>
        <v>0</v>
      </c>
      <c r="D236" s="5">
        <f>SUMIF(Mar!$G$2:$G$1000,'2024 Summary'!A236,Mar!$H$2:$H$1000)</f>
        <v>0</v>
      </c>
      <c r="E236" s="5">
        <f>SUMIF(Apr!$G$2:$G$1000,'2024 Summary'!A236,Apr!$H$2:$H$1000)</f>
        <v>0</v>
      </c>
      <c r="F236" s="5">
        <f>SUMIF(May!$G$2:$G$1000,'2024 Summary'!A236,May!$H$2:$H$1000)</f>
        <v>0</v>
      </c>
      <c r="G236" s="5">
        <f>SUMIF(Jun!$G$2:$G$1000,'2024 Summary'!A236,Jun!$H$2:$H$1000)</f>
        <v>0</v>
      </c>
      <c r="H236" s="5">
        <f>SUMIF(Jul!$G$2:$G$1000,'2024 Summary'!A236,Jul!$H$2:$H$1000)</f>
        <v>0</v>
      </c>
      <c r="I236" s="5">
        <f>SUMIF(Aug!$G$2:$G$1000,'2024 Summary'!A236,Aug!$H$2:$H$1000)</f>
        <v>0</v>
      </c>
      <c r="J236" s="5">
        <f>SUMIF(Sep!$G$2:$G$1000,'2024 Summary'!A236,Sep!$H$2:$H$1000)</f>
        <v>0</v>
      </c>
      <c r="K236" s="5">
        <f>SUMIF(Oct!$G$2:$G$1000,'2024 Summary'!A236,Oct!$H$2:$H$1000)</f>
        <v>0</v>
      </c>
      <c r="L236" s="5">
        <f>SUMIF(Nov!$G$2:$G$1000,'2024 Summary'!A236,Nov!$H$2:$H$1000)</f>
        <v>0</v>
      </c>
      <c r="M236" s="5">
        <f>SUMIF(Dec!$G$2:$G$1000,'2024 Summary'!A236,Dec!$H$2:$H$1000)</f>
        <v>0</v>
      </c>
      <c r="AA236" s="13">
        <f>Mar!G38</f>
        <v>0</v>
      </c>
    </row>
    <row r="237" spans="2:27" x14ac:dyDescent="0.25">
      <c r="B237" s="5">
        <f>SUMIF(Jan!$G$2:$G$1000,'2024 Summary'!A237,Jan!$H$2:$H$1000)</f>
        <v>0</v>
      </c>
      <c r="C237" s="5">
        <f>SUMIF(Feb!$G$2:$G$1000,'2024 Summary'!A237,Feb!$H$2:$H$1000)</f>
        <v>0</v>
      </c>
      <c r="D237" s="5">
        <f>SUMIF(Mar!$G$2:$G$1000,'2024 Summary'!A237,Mar!$H$2:$H$1000)</f>
        <v>0</v>
      </c>
      <c r="E237" s="5">
        <f>SUMIF(Apr!$G$2:$G$1000,'2024 Summary'!A237,Apr!$H$2:$H$1000)</f>
        <v>0</v>
      </c>
      <c r="F237" s="5">
        <f>SUMIF(May!$G$2:$G$1000,'2024 Summary'!A237,May!$H$2:$H$1000)</f>
        <v>0</v>
      </c>
      <c r="G237" s="5">
        <f>SUMIF(Jun!$G$2:$G$1000,'2024 Summary'!A237,Jun!$H$2:$H$1000)</f>
        <v>0</v>
      </c>
      <c r="H237" s="5">
        <f>SUMIF(Jul!$G$2:$G$1000,'2024 Summary'!A237,Jul!$H$2:$H$1000)</f>
        <v>0</v>
      </c>
      <c r="I237" s="5">
        <f>SUMIF(Aug!$G$2:$G$1000,'2024 Summary'!A237,Aug!$H$2:$H$1000)</f>
        <v>0</v>
      </c>
      <c r="J237" s="5">
        <f>SUMIF(Sep!$G$2:$G$1000,'2024 Summary'!A237,Sep!$H$2:$H$1000)</f>
        <v>0</v>
      </c>
      <c r="K237" s="5">
        <f>SUMIF(Oct!$G$2:$G$1000,'2024 Summary'!A237,Oct!$H$2:$H$1000)</f>
        <v>0</v>
      </c>
      <c r="L237" s="5">
        <f>SUMIF(Nov!$G$2:$G$1000,'2024 Summary'!A237,Nov!$H$2:$H$1000)</f>
        <v>0</v>
      </c>
      <c r="M237" s="5">
        <f>SUMIF(Dec!$G$2:$G$1000,'2024 Summary'!A237,Dec!$H$2:$H$1000)</f>
        <v>0</v>
      </c>
      <c r="AA237" s="13">
        <f>Mar!G39</f>
        <v>0</v>
      </c>
    </row>
    <row r="238" spans="2:27" x14ac:dyDescent="0.25">
      <c r="B238" s="5">
        <f>SUMIF(Jan!$G$2:$G$1000,'2024 Summary'!A238,Jan!$H$2:$H$1000)</f>
        <v>0</v>
      </c>
      <c r="C238" s="5">
        <f>SUMIF(Feb!$G$2:$G$1000,'2024 Summary'!A238,Feb!$H$2:$H$1000)</f>
        <v>0</v>
      </c>
      <c r="D238" s="5">
        <f>SUMIF(Mar!$G$2:$G$1000,'2024 Summary'!A238,Mar!$H$2:$H$1000)</f>
        <v>0</v>
      </c>
      <c r="E238" s="5">
        <f>SUMIF(Apr!$G$2:$G$1000,'2024 Summary'!A238,Apr!$H$2:$H$1000)</f>
        <v>0</v>
      </c>
      <c r="F238" s="5">
        <f>SUMIF(May!$G$2:$G$1000,'2024 Summary'!A238,May!$H$2:$H$1000)</f>
        <v>0</v>
      </c>
      <c r="G238" s="5">
        <f>SUMIF(Jun!$G$2:$G$1000,'2024 Summary'!A238,Jun!$H$2:$H$1000)</f>
        <v>0</v>
      </c>
      <c r="H238" s="5">
        <f>SUMIF(Jul!$G$2:$G$1000,'2024 Summary'!A238,Jul!$H$2:$H$1000)</f>
        <v>0</v>
      </c>
      <c r="I238" s="5">
        <f>SUMIF(Aug!$G$2:$G$1000,'2024 Summary'!A238,Aug!$H$2:$H$1000)</f>
        <v>0</v>
      </c>
      <c r="J238" s="5">
        <f>SUMIF(Sep!$G$2:$G$1000,'2024 Summary'!A238,Sep!$H$2:$H$1000)</f>
        <v>0</v>
      </c>
      <c r="K238" s="5">
        <f>SUMIF(Oct!$G$2:$G$1000,'2024 Summary'!A238,Oct!$H$2:$H$1000)</f>
        <v>0</v>
      </c>
      <c r="L238" s="5">
        <f>SUMIF(Nov!$G$2:$G$1000,'2024 Summary'!A238,Nov!$H$2:$H$1000)</f>
        <v>0</v>
      </c>
      <c r="M238" s="5">
        <f>SUMIF(Dec!$G$2:$G$1000,'2024 Summary'!A238,Dec!$H$2:$H$1000)</f>
        <v>0</v>
      </c>
      <c r="AA238" s="13">
        <f>Mar!G40</f>
        <v>0</v>
      </c>
    </row>
    <row r="239" spans="2:27" x14ac:dyDescent="0.25">
      <c r="B239" s="5">
        <f>SUMIF(Jan!$G$2:$G$1000,'2024 Summary'!A239,Jan!$H$2:$H$1000)</f>
        <v>0</v>
      </c>
      <c r="C239" s="5">
        <f>SUMIF(Feb!$G$2:$G$1000,'2024 Summary'!A239,Feb!$H$2:$H$1000)</f>
        <v>0</v>
      </c>
      <c r="D239" s="5">
        <f>SUMIF(Mar!$G$2:$G$1000,'2024 Summary'!A239,Mar!$H$2:$H$1000)</f>
        <v>0</v>
      </c>
      <c r="E239" s="5">
        <f>SUMIF(Apr!$G$2:$G$1000,'2024 Summary'!A239,Apr!$H$2:$H$1000)</f>
        <v>0</v>
      </c>
      <c r="F239" s="5">
        <f>SUMIF(May!$G$2:$G$1000,'2024 Summary'!A239,May!$H$2:$H$1000)</f>
        <v>0</v>
      </c>
      <c r="G239" s="5">
        <f>SUMIF(Jun!$G$2:$G$1000,'2024 Summary'!A239,Jun!$H$2:$H$1000)</f>
        <v>0</v>
      </c>
      <c r="H239" s="5">
        <f>SUMIF(Jul!$G$2:$G$1000,'2024 Summary'!A239,Jul!$H$2:$H$1000)</f>
        <v>0</v>
      </c>
      <c r="I239" s="5">
        <f>SUMIF(Aug!$G$2:$G$1000,'2024 Summary'!A239,Aug!$H$2:$H$1000)</f>
        <v>0</v>
      </c>
      <c r="J239" s="5">
        <f>SUMIF(Sep!$G$2:$G$1000,'2024 Summary'!A239,Sep!$H$2:$H$1000)</f>
        <v>0</v>
      </c>
      <c r="K239" s="5">
        <f>SUMIF(Oct!$G$2:$G$1000,'2024 Summary'!A239,Oct!$H$2:$H$1000)</f>
        <v>0</v>
      </c>
      <c r="L239" s="5">
        <f>SUMIF(Nov!$G$2:$G$1000,'2024 Summary'!A239,Nov!$H$2:$H$1000)</f>
        <v>0</v>
      </c>
      <c r="M239" s="5">
        <f>SUMIF(Dec!$G$2:$G$1000,'2024 Summary'!A239,Dec!$H$2:$H$1000)</f>
        <v>0</v>
      </c>
      <c r="AA239" s="13">
        <f>Mar!G41</f>
        <v>0</v>
      </c>
    </row>
    <row r="240" spans="2:27" x14ac:dyDescent="0.25">
      <c r="B240" s="5">
        <f>SUMIF(Jan!$G$2:$G$1000,'2024 Summary'!A240,Jan!$H$2:$H$1000)</f>
        <v>0</v>
      </c>
      <c r="C240" s="5">
        <f>SUMIF(Feb!$G$2:$G$1000,'2024 Summary'!A240,Feb!$H$2:$H$1000)</f>
        <v>0</v>
      </c>
      <c r="D240" s="5">
        <f>SUMIF(Mar!$G$2:$G$1000,'2024 Summary'!A240,Mar!$H$2:$H$1000)</f>
        <v>0</v>
      </c>
      <c r="E240" s="5">
        <f>SUMIF(Apr!$G$2:$G$1000,'2024 Summary'!A240,Apr!$H$2:$H$1000)</f>
        <v>0</v>
      </c>
      <c r="F240" s="5">
        <f>SUMIF(May!$G$2:$G$1000,'2024 Summary'!A240,May!$H$2:$H$1000)</f>
        <v>0</v>
      </c>
      <c r="G240" s="5">
        <f>SUMIF(Jun!$G$2:$G$1000,'2024 Summary'!A240,Jun!$H$2:$H$1000)</f>
        <v>0</v>
      </c>
      <c r="H240" s="5">
        <f>SUMIF(Jul!$G$2:$G$1000,'2024 Summary'!A240,Jul!$H$2:$H$1000)</f>
        <v>0</v>
      </c>
      <c r="I240" s="5">
        <f>SUMIF(Aug!$G$2:$G$1000,'2024 Summary'!A240,Aug!$H$2:$H$1000)</f>
        <v>0</v>
      </c>
      <c r="J240" s="5">
        <f>SUMIF(Sep!$G$2:$G$1000,'2024 Summary'!A240,Sep!$H$2:$H$1000)</f>
        <v>0</v>
      </c>
      <c r="K240" s="5">
        <f>SUMIF(Oct!$G$2:$G$1000,'2024 Summary'!A240,Oct!$H$2:$H$1000)</f>
        <v>0</v>
      </c>
      <c r="L240" s="5">
        <f>SUMIF(Nov!$G$2:$G$1000,'2024 Summary'!A240,Nov!$H$2:$H$1000)</f>
        <v>0</v>
      </c>
      <c r="M240" s="5">
        <f>SUMIF(Dec!$G$2:$G$1000,'2024 Summary'!A240,Dec!$H$2:$H$1000)</f>
        <v>0</v>
      </c>
      <c r="AA240" s="13">
        <f>Mar!G42</f>
        <v>0</v>
      </c>
    </row>
    <row r="241" spans="2:27" x14ac:dyDescent="0.25">
      <c r="B241" s="5">
        <f>SUMIF(Jan!$G$2:$G$1000,'2024 Summary'!A241,Jan!$H$2:$H$1000)</f>
        <v>0</v>
      </c>
      <c r="C241" s="5">
        <f>SUMIF(Feb!$G$2:$G$1000,'2024 Summary'!A241,Feb!$H$2:$H$1000)</f>
        <v>0</v>
      </c>
      <c r="D241" s="5">
        <f>SUMIF(Mar!$G$2:$G$1000,'2024 Summary'!A241,Mar!$H$2:$H$1000)</f>
        <v>0</v>
      </c>
      <c r="E241" s="5">
        <f>SUMIF(Apr!$G$2:$G$1000,'2024 Summary'!A241,Apr!$H$2:$H$1000)</f>
        <v>0</v>
      </c>
      <c r="F241" s="5">
        <f>SUMIF(May!$G$2:$G$1000,'2024 Summary'!A241,May!$H$2:$H$1000)</f>
        <v>0</v>
      </c>
      <c r="G241" s="5">
        <f>SUMIF(Jun!$G$2:$G$1000,'2024 Summary'!A241,Jun!$H$2:$H$1000)</f>
        <v>0</v>
      </c>
      <c r="H241" s="5">
        <f>SUMIF(Jul!$G$2:$G$1000,'2024 Summary'!A241,Jul!$H$2:$H$1000)</f>
        <v>0</v>
      </c>
      <c r="I241" s="5">
        <f>SUMIF(Aug!$G$2:$G$1000,'2024 Summary'!A241,Aug!$H$2:$H$1000)</f>
        <v>0</v>
      </c>
      <c r="J241" s="5">
        <f>SUMIF(Sep!$G$2:$G$1000,'2024 Summary'!A241,Sep!$H$2:$H$1000)</f>
        <v>0</v>
      </c>
      <c r="K241" s="5">
        <f>SUMIF(Oct!$G$2:$G$1000,'2024 Summary'!A241,Oct!$H$2:$H$1000)</f>
        <v>0</v>
      </c>
      <c r="L241" s="5">
        <f>SUMIF(Nov!$G$2:$G$1000,'2024 Summary'!A241,Nov!$H$2:$H$1000)</f>
        <v>0</v>
      </c>
      <c r="M241" s="5">
        <f>SUMIF(Dec!$G$2:$G$1000,'2024 Summary'!A241,Dec!$H$2:$H$1000)</f>
        <v>0</v>
      </c>
      <c r="AA241" s="13">
        <f>Mar!G43</f>
        <v>0</v>
      </c>
    </row>
    <row r="242" spans="2:27" x14ac:dyDescent="0.25">
      <c r="B242" s="5">
        <f>SUMIF(Jan!$G$2:$G$1000,'2024 Summary'!A242,Jan!$H$2:$H$1000)</f>
        <v>0</v>
      </c>
      <c r="C242" s="5">
        <f>SUMIF(Feb!$G$2:$G$1000,'2024 Summary'!A242,Feb!$H$2:$H$1000)</f>
        <v>0</v>
      </c>
      <c r="D242" s="5">
        <f>SUMIF(Mar!$G$2:$G$1000,'2024 Summary'!A242,Mar!$H$2:$H$1000)</f>
        <v>0</v>
      </c>
      <c r="E242" s="5">
        <f>SUMIF(Apr!$G$2:$G$1000,'2024 Summary'!A242,Apr!$H$2:$H$1000)</f>
        <v>0</v>
      </c>
      <c r="F242" s="5">
        <f>SUMIF(May!$G$2:$G$1000,'2024 Summary'!A242,May!$H$2:$H$1000)</f>
        <v>0</v>
      </c>
      <c r="G242" s="5">
        <f>SUMIF(Jun!$G$2:$G$1000,'2024 Summary'!A242,Jun!$H$2:$H$1000)</f>
        <v>0</v>
      </c>
      <c r="H242" s="5">
        <f>SUMIF(Jul!$G$2:$G$1000,'2024 Summary'!A242,Jul!$H$2:$H$1000)</f>
        <v>0</v>
      </c>
      <c r="I242" s="5">
        <f>SUMIF(Aug!$G$2:$G$1000,'2024 Summary'!A242,Aug!$H$2:$H$1000)</f>
        <v>0</v>
      </c>
      <c r="J242" s="5">
        <f>SUMIF(Sep!$G$2:$G$1000,'2024 Summary'!A242,Sep!$H$2:$H$1000)</f>
        <v>0</v>
      </c>
      <c r="K242" s="5">
        <f>SUMIF(Oct!$G$2:$G$1000,'2024 Summary'!A242,Oct!$H$2:$H$1000)</f>
        <v>0</v>
      </c>
      <c r="L242" s="5">
        <f>SUMIF(Nov!$G$2:$G$1000,'2024 Summary'!A242,Nov!$H$2:$H$1000)</f>
        <v>0</v>
      </c>
      <c r="M242" s="5">
        <f>SUMIF(Dec!$G$2:$G$1000,'2024 Summary'!A242,Dec!$H$2:$H$1000)</f>
        <v>0</v>
      </c>
      <c r="AA242" s="13">
        <f>Mar!G44</f>
        <v>0</v>
      </c>
    </row>
    <row r="243" spans="2:27" x14ac:dyDescent="0.25">
      <c r="B243" s="5">
        <f>SUMIF(Jan!$G$2:$G$1000,'2024 Summary'!A243,Jan!$H$2:$H$1000)</f>
        <v>0</v>
      </c>
      <c r="C243" s="5">
        <f>SUMIF(Feb!$G$2:$G$1000,'2024 Summary'!A243,Feb!$H$2:$H$1000)</f>
        <v>0</v>
      </c>
      <c r="D243" s="5">
        <f>SUMIF(Mar!$G$2:$G$1000,'2024 Summary'!A243,Mar!$H$2:$H$1000)</f>
        <v>0</v>
      </c>
      <c r="E243" s="5">
        <f>SUMIF(Apr!$G$2:$G$1000,'2024 Summary'!A243,Apr!$H$2:$H$1000)</f>
        <v>0</v>
      </c>
      <c r="F243" s="5">
        <f>SUMIF(May!$G$2:$G$1000,'2024 Summary'!A243,May!$H$2:$H$1000)</f>
        <v>0</v>
      </c>
      <c r="G243" s="5">
        <f>SUMIF(Jun!$G$2:$G$1000,'2024 Summary'!A243,Jun!$H$2:$H$1000)</f>
        <v>0</v>
      </c>
      <c r="H243" s="5">
        <f>SUMIF(Jul!$G$2:$G$1000,'2024 Summary'!A243,Jul!$H$2:$H$1000)</f>
        <v>0</v>
      </c>
      <c r="I243" s="5">
        <f>SUMIF(Aug!$G$2:$G$1000,'2024 Summary'!A243,Aug!$H$2:$H$1000)</f>
        <v>0</v>
      </c>
      <c r="J243" s="5">
        <f>SUMIF(Sep!$G$2:$G$1000,'2024 Summary'!A243,Sep!$H$2:$H$1000)</f>
        <v>0</v>
      </c>
      <c r="K243" s="5">
        <f>SUMIF(Oct!$G$2:$G$1000,'2024 Summary'!A243,Oct!$H$2:$H$1000)</f>
        <v>0</v>
      </c>
      <c r="L243" s="5">
        <f>SUMIF(Nov!$G$2:$G$1000,'2024 Summary'!A243,Nov!$H$2:$H$1000)</f>
        <v>0</v>
      </c>
      <c r="M243" s="5">
        <f>SUMIF(Dec!$G$2:$G$1000,'2024 Summary'!A243,Dec!$H$2:$H$1000)</f>
        <v>0</v>
      </c>
      <c r="AA243" s="13">
        <f>Mar!G45</f>
        <v>0</v>
      </c>
    </row>
    <row r="244" spans="2:27" x14ac:dyDescent="0.25">
      <c r="B244" s="5">
        <f>SUMIF(Jan!$G$2:$G$1000,'2024 Summary'!A244,Jan!$H$2:$H$1000)</f>
        <v>0</v>
      </c>
      <c r="C244" s="5">
        <f>SUMIF(Feb!$G$2:$G$1000,'2024 Summary'!A244,Feb!$H$2:$H$1000)</f>
        <v>0</v>
      </c>
      <c r="D244" s="5">
        <f>SUMIF(Mar!$G$2:$G$1000,'2024 Summary'!A244,Mar!$H$2:$H$1000)</f>
        <v>0</v>
      </c>
      <c r="E244" s="5">
        <f>SUMIF(Apr!$G$2:$G$1000,'2024 Summary'!A244,Apr!$H$2:$H$1000)</f>
        <v>0</v>
      </c>
      <c r="F244" s="5">
        <f>SUMIF(May!$G$2:$G$1000,'2024 Summary'!A244,May!$H$2:$H$1000)</f>
        <v>0</v>
      </c>
      <c r="G244" s="5">
        <f>SUMIF(Jun!$G$2:$G$1000,'2024 Summary'!A244,Jun!$H$2:$H$1000)</f>
        <v>0</v>
      </c>
      <c r="H244" s="5">
        <f>SUMIF(Jul!$G$2:$G$1000,'2024 Summary'!A244,Jul!$H$2:$H$1000)</f>
        <v>0</v>
      </c>
      <c r="I244" s="5">
        <f>SUMIF(Aug!$G$2:$G$1000,'2024 Summary'!A244,Aug!$H$2:$H$1000)</f>
        <v>0</v>
      </c>
      <c r="J244" s="5">
        <f>SUMIF(Sep!$G$2:$G$1000,'2024 Summary'!A244,Sep!$H$2:$H$1000)</f>
        <v>0</v>
      </c>
      <c r="K244" s="5">
        <f>SUMIF(Oct!$G$2:$G$1000,'2024 Summary'!A244,Oct!$H$2:$H$1000)</f>
        <v>0</v>
      </c>
      <c r="L244" s="5">
        <f>SUMIF(Nov!$G$2:$G$1000,'2024 Summary'!A244,Nov!$H$2:$H$1000)</f>
        <v>0</v>
      </c>
      <c r="M244" s="5">
        <f>SUMIF(Dec!$G$2:$G$1000,'2024 Summary'!A244,Dec!$H$2:$H$1000)</f>
        <v>0</v>
      </c>
      <c r="AA244" s="13">
        <f>Mar!G46</f>
        <v>0</v>
      </c>
    </row>
    <row r="245" spans="2:27" x14ac:dyDescent="0.25">
      <c r="B245" s="5">
        <f>SUMIF(Jan!$G$2:$G$1000,'2024 Summary'!A245,Jan!$H$2:$H$1000)</f>
        <v>0</v>
      </c>
      <c r="C245" s="5">
        <f>SUMIF(Feb!$G$2:$G$1000,'2024 Summary'!A245,Feb!$H$2:$H$1000)</f>
        <v>0</v>
      </c>
      <c r="D245" s="5">
        <f>SUMIF(Mar!$G$2:$G$1000,'2024 Summary'!A245,Mar!$H$2:$H$1000)</f>
        <v>0</v>
      </c>
      <c r="E245" s="5">
        <f>SUMIF(Apr!$G$2:$G$1000,'2024 Summary'!A245,Apr!$H$2:$H$1000)</f>
        <v>0</v>
      </c>
      <c r="F245" s="5">
        <f>SUMIF(May!$G$2:$G$1000,'2024 Summary'!A245,May!$H$2:$H$1000)</f>
        <v>0</v>
      </c>
      <c r="G245" s="5">
        <f>SUMIF(Jun!$G$2:$G$1000,'2024 Summary'!A245,Jun!$H$2:$H$1000)</f>
        <v>0</v>
      </c>
      <c r="H245" s="5">
        <f>SUMIF(Jul!$G$2:$G$1000,'2024 Summary'!A245,Jul!$H$2:$H$1000)</f>
        <v>0</v>
      </c>
      <c r="I245" s="5">
        <f>SUMIF(Aug!$G$2:$G$1000,'2024 Summary'!A245,Aug!$H$2:$H$1000)</f>
        <v>0</v>
      </c>
      <c r="J245" s="5">
        <f>SUMIF(Sep!$G$2:$G$1000,'2024 Summary'!A245,Sep!$H$2:$H$1000)</f>
        <v>0</v>
      </c>
      <c r="K245" s="5">
        <f>SUMIF(Oct!$G$2:$G$1000,'2024 Summary'!A245,Oct!$H$2:$H$1000)</f>
        <v>0</v>
      </c>
      <c r="L245" s="5">
        <f>SUMIF(Nov!$G$2:$G$1000,'2024 Summary'!A245,Nov!$H$2:$H$1000)</f>
        <v>0</v>
      </c>
      <c r="M245" s="5">
        <f>SUMIF(Dec!$G$2:$G$1000,'2024 Summary'!A245,Dec!$H$2:$H$1000)</f>
        <v>0</v>
      </c>
      <c r="AA245" s="13">
        <f>Mar!G47</f>
        <v>0</v>
      </c>
    </row>
    <row r="246" spans="2:27" x14ac:dyDescent="0.25">
      <c r="B246" s="5">
        <f>SUMIF(Jan!$G$2:$G$1000,'2024 Summary'!A246,Jan!$H$2:$H$1000)</f>
        <v>0</v>
      </c>
      <c r="C246" s="5">
        <f>SUMIF(Feb!$G$2:$G$1000,'2024 Summary'!A246,Feb!$H$2:$H$1000)</f>
        <v>0</v>
      </c>
      <c r="D246" s="5">
        <f>SUMIF(Mar!$G$2:$G$1000,'2024 Summary'!A246,Mar!$H$2:$H$1000)</f>
        <v>0</v>
      </c>
      <c r="E246" s="5">
        <f>SUMIF(Apr!$G$2:$G$1000,'2024 Summary'!A246,Apr!$H$2:$H$1000)</f>
        <v>0</v>
      </c>
      <c r="F246" s="5">
        <f>SUMIF(May!$G$2:$G$1000,'2024 Summary'!A246,May!$H$2:$H$1000)</f>
        <v>0</v>
      </c>
      <c r="G246" s="5">
        <f>SUMIF(Jun!$G$2:$G$1000,'2024 Summary'!A246,Jun!$H$2:$H$1000)</f>
        <v>0</v>
      </c>
      <c r="H246" s="5">
        <f>SUMIF(Jul!$G$2:$G$1000,'2024 Summary'!A246,Jul!$H$2:$H$1000)</f>
        <v>0</v>
      </c>
      <c r="I246" s="5">
        <f>SUMIF(Aug!$G$2:$G$1000,'2024 Summary'!A246,Aug!$H$2:$H$1000)</f>
        <v>0</v>
      </c>
      <c r="J246" s="5">
        <f>SUMIF(Sep!$G$2:$G$1000,'2024 Summary'!A246,Sep!$H$2:$H$1000)</f>
        <v>0</v>
      </c>
      <c r="K246" s="5">
        <f>SUMIF(Oct!$G$2:$G$1000,'2024 Summary'!A246,Oct!$H$2:$H$1000)</f>
        <v>0</v>
      </c>
      <c r="L246" s="5">
        <f>SUMIF(Nov!$G$2:$G$1000,'2024 Summary'!A246,Nov!$H$2:$H$1000)</f>
        <v>0</v>
      </c>
      <c r="M246" s="5">
        <f>SUMIF(Dec!$G$2:$G$1000,'2024 Summary'!A246,Dec!$H$2:$H$1000)</f>
        <v>0</v>
      </c>
      <c r="AA246" s="13">
        <f>Mar!G48</f>
        <v>0</v>
      </c>
    </row>
    <row r="247" spans="2:27" x14ac:dyDescent="0.25">
      <c r="B247" s="5">
        <f>SUMIF(Jan!$G$2:$G$1000,'2024 Summary'!A247,Jan!$H$2:$H$1000)</f>
        <v>0</v>
      </c>
      <c r="C247" s="5">
        <f>SUMIF(Feb!$G$2:$G$1000,'2024 Summary'!A247,Feb!$H$2:$H$1000)</f>
        <v>0</v>
      </c>
      <c r="D247" s="5">
        <f>SUMIF(Mar!$G$2:$G$1000,'2024 Summary'!A247,Mar!$H$2:$H$1000)</f>
        <v>0</v>
      </c>
      <c r="E247" s="5">
        <f>SUMIF(Apr!$G$2:$G$1000,'2024 Summary'!A247,Apr!$H$2:$H$1000)</f>
        <v>0</v>
      </c>
      <c r="F247" s="5">
        <f>SUMIF(May!$G$2:$G$1000,'2024 Summary'!A247,May!$H$2:$H$1000)</f>
        <v>0</v>
      </c>
      <c r="G247" s="5">
        <f>SUMIF(Jun!$G$2:$G$1000,'2024 Summary'!A247,Jun!$H$2:$H$1000)</f>
        <v>0</v>
      </c>
      <c r="H247" s="5">
        <f>SUMIF(Jul!$G$2:$G$1000,'2024 Summary'!A247,Jul!$H$2:$H$1000)</f>
        <v>0</v>
      </c>
      <c r="I247" s="5">
        <f>SUMIF(Aug!$G$2:$G$1000,'2024 Summary'!A247,Aug!$H$2:$H$1000)</f>
        <v>0</v>
      </c>
      <c r="J247" s="5">
        <f>SUMIF(Sep!$G$2:$G$1000,'2024 Summary'!A247,Sep!$H$2:$H$1000)</f>
        <v>0</v>
      </c>
      <c r="K247" s="5">
        <f>SUMIF(Oct!$G$2:$G$1000,'2024 Summary'!A247,Oct!$H$2:$H$1000)</f>
        <v>0</v>
      </c>
      <c r="L247" s="5">
        <f>SUMIF(Nov!$G$2:$G$1000,'2024 Summary'!A247,Nov!$H$2:$H$1000)</f>
        <v>0</v>
      </c>
      <c r="M247" s="5">
        <f>SUMIF(Dec!$G$2:$G$1000,'2024 Summary'!A247,Dec!$H$2:$H$1000)</f>
        <v>0</v>
      </c>
      <c r="AA247" s="13">
        <f>Mar!G49</f>
        <v>0</v>
      </c>
    </row>
    <row r="248" spans="2:27" x14ac:dyDescent="0.25">
      <c r="B248" s="5">
        <f>SUMIF(Jan!$G$2:$G$1000,'2024 Summary'!A248,Jan!$H$2:$H$1000)</f>
        <v>0</v>
      </c>
      <c r="C248" s="5">
        <f>SUMIF(Feb!$G$2:$G$1000,'2024 Summary'!A248,Feb!$H$2:$H$1000)</f>
        <v>0</v>
      </c>
      <c r="D248" s="5">
        <f>SUMIF(Mar!$G$2:$G$1000,'2024 Summary'!A248,Mar!$H$2:$H$1000)</f>
        <v>0</v>
      </c>
      <c r="E248" s="5">
        <f>SUMIF(Apr!$G$2:$G$1000,'2024 Summary'!A248,Apr!$H$2:$H$1000)</f>
        <v>0</v>
      </c>
      <c r="F248" s="5">
        <f>SUMIF(May!$G$2:$G$1000,'2024 Summary'!A248,May!$H$2:$H$1000)</f>
        <v>0</v>
      </c>
      <c r="G248" s="5">
        <f>SUMIF(Jun!$G$2:$G$1000,'2024 Summary'!A248,Jun!$H$2:$H$1000)</f>
        <v>0</v>
      </c>
      <c r="H248" s="5">
        <f>SUMIF(Jul!$G$2:$G$1000,'2024 Summary'!A248,Jul!$H$2:$H$1000)</f>
        <v>0</v>
      </c>
      <c r="I248" s="5">
        <f>SUMIF(Aug!$G$2:$G$1000,'2024 Summary'!A248,Aug!$H$2:$H$1000)</f>
        <v>0</v>
      </c>
      <c r="J248" s="5">
        <f>SUMIF(Sep!$G$2:$G$1000,'2024 Summary'!A248,Sep!$H$2:$H$1000)</f>
        <v>0</v>
      </c>
      <c r="K248" s="5">
        <f>SUMIF(Oct!$G$2:$G$1000,'2024 Summary'!A248,Oct!$H$2:$H$1000)</f>
        <v>0</v>
      </c>
      <c r="L248" s="5">
        <f>SUMIF(Nov!$G$2:$G$1000,'2024 Summary'!A248,Nov!$H$2:$H$1000)</f>
        <v>0</v>
      </c>
      <c r="M248" s="5">
        <f>SUMIF(Dec!$G$2:$G$1000,'2024 Summary'!A248,Dec!$H$2:$H$1000)</f>
        <v>0</v>
      </c>
      <c r="AA248" s="13">
        <f>Mar!G50</f>
        <v>0</v>
      </c>
    </row>
    <row r="249" spans="2:27" x14ac:dyDescent="0.25">
      <c r="B249" s="5">
        <f>SUMIF(Jan!$G$2:$G$1000,'2024 Summary'!A249,Jan!$H$2:$H$1000)</f>
        <v>0</v>
      </c>
      <c r="C249" s="5">
        <f>SUMIF(Feb!$G$2:$G$1000,'2024 Summary'!A249,Feb!$H$2:$H$1000)</f>
        <v>0</v>
      </c>
      <c r="D249" s="5">
        <f>SUMIF(Mar!$G$2:$G$1000,'2024 Summary'!A249,Mar!$H$2:$H$1000)</f>
        <v>0</v>
      </c>
      <c r="E249" s="5">
        <f>SUMIF(Apr!$G$2:$G$1000,'2024 Summary'!A249,Apr!$H$2:$H$1000)</f>
        <v>0</v>
      </c>
      <c r="F249" s="5">
        <f>SUMIF(May!$G$2:$G$1000,'2024 Summary'!A249,May!$H$2:$H$1000)</f>
        <v>0</v>
      </c>
      <c r="G249" s="5">
        <f>SUMIF(Jun!$G$2:$G$1000,'2024 Summary'!A249,Jun!$H$2:$H$1000)</f>
        <v>0</v>
      </c>
      <c r="H249" s="5">
        <f>SUMIF(Jul!$G$2:$G$1000,'2024 Summary'!A249,Jul!$H$2:$H$1000)</f>
        <v>0</v>
      </c>
      <c r="I249" s="5">
        <f>SUMIF(Aug!$G$2:$G$1000,'2024 Summary'!A249,Aug!$H$2:$H$1000)</f>
        <v>0</v>
      </c>
      <c r="J249" s="5">
        <f>SUMIF(Sep!$G$2:$G$1000,'2024 Summary'!A249,Sep!$H$2:$H$1000)</f>
        <v>0</v>
      </c>
      <c r="K249" s="5">
        <f>SUMIF(Oct!$G$2:$G$1000,'2024 Summary'!A249,Oct!$H$2:$H$1000)</f>
        <v>0</v>
      </c>
      <c r="L249" s="5">
        <f>SUMIF(Nov!$G$2:$G$1000,'2024 Summary'!A249,Nov!$H$2:$H$1000)</f>
        <v>0</v>
      </c>
      <c r="M249" s="5">
        <f>SUMIF(Dec!$G$2:$G$1000,'2024 Summary'!A249,Dec!$H$2:$H$1000)</f>
        <v>0</v>
      </c>
      <c r="AA249" s="13">
        <f>Mar!G51</f>
        <v>0</v>
      </c>
    </row>
    <row r="250" spans="2:27" x14ac:dyDescent="0.25">
      <c r="B250" s="5">
        <f>SUMIF(Jan!$G$2:$G$1000,'2024 Summary'!A250,Jan!$H$2:$H$1000)</f>
        <v>0</v>
      </c>
      <c r="C250" s="5">
        <f>SUMIF(Feb!$G$2:$G$1000,'2024 Summary'!A250,Feb!$H$2:$H$1000)</f>
        <v>0</v>
      </c>
      <c r="D250" s="5">
        <f>SUMIF(Mar!$G$2:$G$1000,'2024 Summary'!A250,Mar!$H$2:$H$1000)</f>
        <v>0</v>
      </c>
      <c r="E250" s="5">
        <f>SUMIF(Apr!$G$2:$G$1000,'2024 Summary'!A250,Apr!$H$2:$H$1000)</f>
        <v>0</v>
      </c>
      <c r="F250" s="5">
        <f>SUMIF(May!$G$2:$G$1000,'2024 Summary'!A250,May!$H$2:$H$1000)</f>
        <v>0</v>
      </c>
      <c r="G250" s="5">
        <f>SUMIF(Jun!$G$2:$G$1000,'2024 Summary'!A250,Jun!$H$2:$H$1000)</f>
        <v>0</v>
      </c>
      <c r="H250" s="5">
        <f>SUMIF(Jul!$G$2:$G$1000,'2024 Summary'!A250,Jul!$H$2:$H$1000)</f>
        <v>0</v>
      </c>
      <c r="I250" s="5">
        <f>SUMIF(Aug!$G$2:$G$1000,'2024 Summary'!A250,Aug!$H$2:$H$1000)</f>
        <v>0</v>
      </c>
      <c r="J250" s="5">
        <f>SUMIF(Sep!$G$2:$G$1000,'2024 Summary'!A250,Sep!$H$2:$H$1000)</f>
        <v>0</v>
      </c>
      <c r="K250" s="5">
        <f>SUMIF(Oct!$G$2:$G$1000,'2024 Summary'!A250,Oct!$H$2:$H$1000)</f>
        <v>0</v>
      </c>
      <c r="L250" s="5">
        <f>SUMIF(Nov!$G$2:$G$1000,'2024 Summary'!A250,Nov!$H$2:$H$1000)</f>
        <v>0</v>
      </c>
      <c r="M250" s="5">
        <f>SUMIF(Dec!$G$2:$G$1000,'2024 Summary'!A250,Dec!$H$2:$H$1000)</f>
        <v>0</v>
      </c>
      <c r="AA250" s="13">
        <f>Mar!G52</f>
        <v>0</v>
      </c>
    </row>
    <row r="251" spans="2:27" x14ac:dyDescent="0.25">
      <c r="B251" s="5">
        <f>SUMIF(Jan!$G$2:$G$1000,'2024 Summary'!A251,Jan!$H$2:$H$1000)</f>
        <v>0</v>
      </c>
      <c r="C251" s="5">
        <f>SUMIF(Feb!$G$2:$G$1000,'2024 Summary'!A251,Feb!$H$2:$H$1000)</f>
        <v>0</v>
      </c>
      <c r="D251" s="5">
        <f>SUMIF(Mar!$G$2:$G$1000,'2024 Summary'!A251,Mar!$H$2:$H$1000)</f>
        <v>0</v>
      </c>
      <c r="E251" s="5">
        <f>SUMIF(Apr!$G$2:$G$1000,'2024 Summary'!A251,Apr!$H$2:$H$1000)</f>
        <v>0</v>
      </c>
      <c r="F251" s="5">
        <f>SUMIF(May!$G$2:$G$1000,'2024 Summary'!A251,May!$H$2:$H$1000)</f>
        <v>0</v>
      </c>
      <c r="G251" s="5">
        <f>SUMIF(Jun!$G$2:$G$1000,'2024 Summary'!A251,Jun!$H$2:$H$1000)</f>
        <v>0</v>
      </c>
      <c r="H251" s="5">
        <f>SUMIF(Jul!$G$2:$G$1000,'2024 Summary'!A251,Jul!$H$2:$H$1000)</f>
        <v>0</v>
      </c>
      <c r="I251" s="5">
        <f>SUMIF(Aug!$G$2:$G$1000,'2024 Summary'!A251,Aug!$H$2:$H$1000)</f>
        <v>0</v>
      </c>
      <c r="J251" s="5">
        <f>SUMIF(Sep!$G$2:$G$1000,'2024 Summary'!A251,Sep!$H$2:$H$1000)</f>
        <v>0</v>
      </c>
      <c r="K251" s="5">
        <f>SUMIF(Oct!$G$2:$G$1000,'2024 Summary'!A251,Oct!$H$2:$H$1000)</f>
        <v>0</v>
      </c>
      <c r="L251" s="5">
        <f>SUMIF(Nov!$G$2:$G$1000,'2024 Summary'!A251,Nov!$H$2:$H$1000)</f>
        <v>0</v>
      </c>
      <c r="M251" s="5">
        <f>SUMIF(Dec!$G$2:$G$1000,'2024 Summary'!A251,Dec!$H$2:$H$1000)</f>
        <v>0</v>
      </c>
      <c r="AA251" s="13">
        <f>Mar!G53</f>
        <v>0</v>
      </c>
    </row>
    <row r="252" spans="2:27" x14ac:dyDescent="0.25">
      <c r="B252" s="5">
        <f>SUMIF(Jan!$G$2:$G$1000,'2024 Summary'!A252,Jan!$H$2:$H$1000)</f>
        <v>0</v>
      </c>
      <c r="C252" s="5">
        <f>SUMIF(Feb!$G$2:$G$1000,'2024 Summary'!A252,Feb!$H$2:$H$1000)</f>
        <v>0</v>
      </c>
      <c r="D252" s="5">
        <f>SUMIF(Mar!$G$2:$G$1000,'2024 Summary'!A252,Mar!$H$2:$H$1000)</f>
        <v>0</v>
      </c>
      <c r="E252" s="5">
        <f>SUMIF(Apr!$G$2:$G$1000,'2024 Summary'!A252,Apr!$H$2:$H$1000)</f>
        <v>0</v>
      </c>
      <c r="F252" s="5">
        <f>SUMIF(May!$G$2:$G$1000,'2024 Summary'!A252,May!$H$2:$H$1000)</f>
        <v>0</v>
      </c>
      <c r="G252" s="5">
        <f>SUMIF(Jun!$G$2:$G$1000,'2024 Summary'!A252,Jun!$H$2:$H$1000)</f>
        <v>0</v>
      </c>
      <c r="H252" s="5">
        <f>SUMIF(Jul!$G$2:$G$1000,'2024 Summary'!A252,Jul!$H$2:$H$1000)</f>
        <v>0</v>
      </c>
      <c r="I252" s="5">
        <f>SUMIF(Aug!$G$2:$G$1000,'2024 Summary'!A252,Aug!$H$2:$H$1000)</f>
        <v>0</v>
      </c>
      <c r="J252" s="5">
        <f>SUMIF(Sep!$G$2:$G$1000,'2024 Summary'!A252,Sep!$H$2:$H$1000)</f>
        <v>0</v>
      </c>
      <c r="K252" s="5">
        <f>SUMIF(Oct!$G$2:$G$1000,'2024 Summary'!A252,Oct!$H$2:$H$1000)</f>
        <v>0</v>
      </c>
      <c r="L252" s="5">
        <f>SUMIF(Nov!$G$2:$G$1000,'2024 Summary'!A252,Nov!$H$2:$H$1000)</f>
        <v>0</v>
      </c>
      <c r="M252" s="5">
        <f>SUMIF(Dec!$G$2:$G$1000,'2024 Summary'!A252,Dec!$H$2:$H$1000)</f>
        <v>0</v>
      </c>
      <c r="AA252" s="13">
        <f>Mar!G54</f>
        <v>0</v>
      </c>
    </row>
    <row r="253" spans="2:27" x14ac:dyDescent="0.25">
      <c r="B253" s="5">
        <f>SUMIF(Jan!$G$2:$G$1000,'2024 Summary'!A253,Jan!$H$2:$H$1000)</f>
        <v>0</v>
      </c>
      <c r="C253" s="5">
        <f>SUMIF(Feb!$G$2:$G$1000,'2024 Summary'!A253,Feb!$H$2:$H$1000)</f>
        <v>0</v>
      </c>
      <c r="D253" s="5">
        <f>SUMIF(Mar!$G$2:$G$1000,'2024 Summary'!A253,Mar!$H$2:$H$1000)</f>
        <v>0</v>
      </c>
      <c r="E253" s="5">
        <f>SUMIF(Apr!$G$2:$G$1000,'2024 Summary'!A253,Apr!$H$2:$H$1000)</f>
        <v>0</v>
      </c>
      <c r="F253" s="5">
        <f>SUMIF(May!$G$2:$G$1000,'2024 Summary'!A253,May!$H$2:$H$1000)</f>
        <v>0</v>
      </c>
      <c r="G253" s="5">
        <f>SUMIF(Jun!$G$2:$G$1000,'2024 Summary'!A253,Jun!$H$2:$H$1000)</f>
        <v>0</v>
      </c>
      <c r="H253" s="5">
        <f>SUMIF(Jul!$G$2:$G$1000,'2024 Summary'!A253,Jul!$H$2:$H$1000)</f>
        <v>0</v>
      </c>
      <c r="I253" s="5">
        <f>SUMIF(Aug!$G$2:$G$1000,'2024 Summary'!A253,Aug!$H$2:$H$1000)</f>
        <v>0</v>
      </c>
      <c r="J253" s="5">
        <f>SUMIF(Sep!$G$2:$G$1000,'2024 Summary'!A253,Sep!$H$2:$H$1000)</f>
        <v>0</v>
      </c>
      <c r="K253" s="5">
        <f>SUMIF(Oct!$G$2:$G$1000,'2024 Summary'!A253,Oct!$H$2:$H$1000)</f>
        <v>0</v>
      </c>
      <c r="L253" s="5">
        <f>SUMIF(Nov!$G$2:$G$1000,'2024 Summary'!A253,Nov!$H$2:$H$1000)</f>
        <v>0</v>
      </c>
      <c r="M253" s="5">
        <f>SUMIF(Dec!$G$2:$G$1000,'2024 Summary'!A253,Dec!$H$2:$H$1000)</f>
        <v>0</v>
      </c>
      <c r="AA253" s="13">
        <f>Mar!G55</f>
        <v>0</v>
      </c>
    </row>
    <row r="254" spans="2:27" x14ac:dyDescent="0.25">
      <c r="B254" s="5">
        <f>SUMIF(Jan!$G$2:$G$1000,'2024 Summary'!A254,Jan!$H$2:$H$1000)</f>
        <v>0</v>
      </c>
      <c r="C254" s="5">
        <f>SUMIF(Feb!$G$2:$G$1000,'2024 Summary'!A254,Feb!$H$2:$H$1000)</f>
        <v>0</v>
      </c>
      <c r="D254" s="5">
        <f>SUMIF(Mar!$G$2:$G$1000,'2024 Summary'!A254,Mar!$H$2:$H$1000)</f>
        <v>0</v>
      </c>
      <c r="E254" s="5">
        <f>SUMIF(Apr!$G$2:$G$1000,'2024 Summary'!A254,Apr!$H$2:$H$1000)</f>
        <v>0</v>
      </c>
      <c r="F254" s="5">
        <f>SUMIF(May!$G$2:$G$1000,'2024 Summary'!A254,May!$H$2:$H$1000)</f>
        <v>0</v>
      </c>
      <c r="G254" s="5">
        <f>SUMIF(Jun!$G$2:$G$1000,'2024 Summary'!A254,Jun!$H$2:$H$1000)</f>
        <v>0</v>
      </c>
      <c r="H254" s="5">
        <f>SUMIF(Jul!$G$2:$G$1000,'2024 Summary'!A254,Jul!$H$2:$H$1000)</f>
        <v>0</v>
      </c>
      <c r="I254" s="5">
        <f>SUMIF(Aug!$G$2:$G$1000,'2024 Summary'!A254,Aug!$H$2:$H$1000)</f>
        <v>0</v>
      </c>
      <c r="J254" s="5">
        <f>SUMIF(Sep!$G$2:$G$1000,'2024 Summary'!A254,Sep!$H$2:$H$1000)</f>
        <v>0</v>
      </c>
      <c r="K254" s="5">
        <f>SUMIF(Oct!$G$2:$G$1000,'2024 Summary'!A254,Oct!$H$2:$H$1000)</f>
        <v>0</v>
      </c>
      <c r="L254" s="5">
        <f>SUMIF(Nov!$G$2:$G$1000,'2024 Summary'!A254,Nov!$H$2:$H$1000)</f>
        <v>0</v>
      </c>
      <c r="M254" s="5">
        <f>SUMIF(Dec!$G$2:$G$1000,'2024 Summary'!A254,Dec!$H$2:$H$1000)</f>
        <v>0</v>
      </c>
      <c r="AA254" s="13">
        <f>Mar!G56</f>
        <v>0</v>
      </c>
    </row>
    <row r="255" spans="2:27" x14ac:dyDescent="0.25">
      <c r="B255" s="5">
        <f>SUMIF(Jan!$G$2:$G$1000,'2024 Summary'!A255,Jan!$H$2:$H$1000)</f>
        <v>0</v>
      </c>
      <c r="C255" s="5">
        <f>SUMIF(Feb!$G$2:$G$1000,'2024 Summary'!A255,Feb!$H$2:$H$1000)</f>
        <v>0</v>
      </c>
      <c r="D255" s="5">
        <f>SUMIF(Mar!$G$2:$G$1000,'2024 Summary'!A255,Mar!$H$2:$H$1000)</f>
        <v>0</v>
      </c>
      <c r="E255" s="5">
        <f>SUMIF(Apr!$G$2:$G$1000,'2024 Summary'!A255,Apr!$H$2:$H$1000)</f>
        <v>0</v>
      </c>
      <c r="F255" s="5">
        <f>SUMIF(May!$G$2:$G$1000,'2024 Summary'!A255,May!$H$2:$H$1000)</f>
        <v>0</v>
      </c>
      <c r="G255" s="5">
        <f>SUMIF(Jun!$G$2:$G$1000,'2024 Summary'!A255,Jun!$H$2:$H$1000)</f>
        <v>0</v>
      </c>
      <c r="H255" s="5">
        <f>SUMIF(Jul!$G$2:$G$1000,'2024 Summary'!A255,Jul!$H$2:$H$1000)</f>
        <v>0</v>
      </c>
      <c r="I255" s="5">
        <f>SUMIF(Aug!$G$2:$G$1000,'2024 Summary'!A255,Aug!$H$2:$H$1000)</f>
        <v>0</v>
      </c>
      <c r="J255" s="5">
        <f>SUMIF(Sep!$G$2:$G$1000,'2024 Summary'!A255,Sep!$H$2:$H$1000)</f>
        <v>0</v>
      </c>
      <c r="K255" s="5">
        <f>SUMIF(Oct!$G$2:$G$1000,'2024 Summary'!A255,Oct!$H$2:$H$1000)</f>
        <v>0</v>
      </c>
      <c r="L255" s="5">
        <f>SUMIF(Nov!$G$2:$G$1000,'2024 Summary'!A255,Nov!$H$2:$H$1000)</f>
        <v>0</v>
      </c>
      <c r="M255" s="5">
        <f>SUMIF(Dec!$G$2:$G$1000,'2024 Summary'!A255,Dec!$H$2:$H$1000)</f>
        <v>0</v>
      </c>
      <c r="AA255" s="13">
        <f>Mar!G57</f>
        <v>0</v>
      </c>
    </row>
    <row r="256" spans="2:27" x14ac:dyDescent="0.25">
      <c r="B256" s="5">
        <f>SUMIF(Jan!$G$2:$G$1000,'2024 Summary'!A256,Jan!$H$2:$H$1000)</f>
        <v>0</v>
      </c>
      <c r="C256" s="5">
        <f>SUMIF(Feb!$G$2:$G$1000,'2024 Summary'!A256,Feb!$H$2:$H$1000)</f>
        <v>0</v>
      </c>
      <c r="D256" s="5">
        <f>SUMIF(Mar!$G$2:$G$1000,'2024 Summary'!A256,Mar!$H$2:$H$1000)</f>
        <v>0</v>
      </c>
      <c r="E256" s="5">
        <f>SUMIF(Apr!$G$2:$G$1000,'2024 Summary'!A256,Apr!$H$2:$H$1000)</f>
        <v>0</v>
      </c>
      <c r="F256" s="5">
        <f>SUMIF(May!$G$2:$G$1000,'2024 Summary'!A256,May!$H$2:$H$1000)</f>
        <v>0</v>
      </c>
      <c r="G256" s="5">
        <f>SUMIF(Jun!$G$2:$G$1000,'2024 Summary'!A256,Jun!$H$2:$H$1000)</f>
        <v>0</v>
      </c>
      <c r="H256" s="5">
        <f>SUMIF(Jul!$G$2:$G$1000,'2024 Summary'!A256,Jul!$H$2:$H$1000)</f>
        <v>0</v>
      </c>
      <c r="I256" s="5">
        <f>SUMIF(Aug!$G$2:$G$1000,'2024 Summary'!A256,Aug!$H$2:$H$1000)</f>
        <v>0</v>
      </c>
      <c r="J256" s="5">
        <f>SUMIF(Sep!$G$2:$G$1000,'2024 Summary'!A256,Sep!$H$2:$H$1000)</f>
        <v>0</v>
      </c>
      <c r="K256" s="5">
        <f>SUMIF(Oct!$G$2:$G$1000,'2024 Summary'!A256,Oct!$H$2:$H$1000)</f>
        <v>0</v>
      </c>
      <c r="L256" s="5">
        <f>SUMIF(Nov!$G$2:$G$1000,'2024 Summary'!A256,Nov!$H$2:$H$1000)</f>
        <v>0</v>
      </c>
      <c r="M256" s="5">
        <f>SUMIF(Dec!$G$2:$G$1000,'2024 Summary'!A256,Dec!$H$2:$H$1000)</f>
        <v>0</v>
      </c>
      <c r="AA256" s="13">
        <f>Mar!G58</f>
        <v>0</v>
      </c>
    </row>
    <row r="257" spans="2:27" x14ac:dyDescent="0.25">
      <c r="B257" s="5">
        <f>SUMIF(Jan!$G$2:$G$1000,'2024 Summary'!A257,Jan!$H$2:$H$1000)</f>
        <v>0</v>
      </c>
      <c r="C257" s="5">
        <f>SUMIF(Feb!$G$2:$G$1000,'2024 Summary'!A257,Feb!$H$2:$H$1000)</f>
        <v>0</v>
      </c>
      <c r="D257" s="5">
        <f>SUMIF(Mar!$G$2:$G$1000,'2024 Summary'!A257,Mar!$H$2:$H$1000)</f>
        <v>0</v>
      </c>
      <c r="E257" s="5">
        <f>SUMIF(Apr!$G$2:$G$1000,'2024 Summary'!A257,Apr!$H$2:$H$1000)</f>
        <v>0</v>
      </c>
      <c r="F257" s="5">
        <f>SUMIF(May!$G$2:$G$1000,'2024 Summary'!A257,May!$H$2:$H$1000)</f>
        <v>0</v>
      </c>
      <c r="G257" s="5">
        <f>SUMIF(Jun!$G$2:$G$1000,'2024 Summary'!A257,Jun!$H$2:$H$1000)</f>
        <v>0</v>
      </c>
      <c r="H257" s="5">
        <f>SUMIF(Jul!$G$2:$G$1000,'2024 Summary'!A257,Jul!$H$2:$H$1000)</f>
        <v>0</v>
      </c>
      <c r="I257" s="5">
        <f>SUMIF(Aug!$G$2:$G$1000,'2024 Summary'!A257,Aug!$H$2:$H$1000)</f>
        <v>0</v>
      </c>
      <c r="J257" s="5">
        <f>SUMIF(Sep!$G$2:$G$1000,'2024 Summary'!A257,Sep!$H$2:$H$1000)</f>
        <v>0</v>
      </c>
      <c r="K257" s="5">
        <f>SUMIF(Oct!$G$2:$G$1000,'2024 Summary'!A257,Oct!$H$2:$H$1000)</f>
        <v>0</v>
      </c>
      <c r="L257" s="5">
        <f>SUMIF(Nov!$G$2:$G$1000,'2024 Summary'!A257,Nov!$H$2:$H$1000)</f>
        <v>0</v>
      </c>
      <c r="M257" s="5">
        <f>SUMIF(Dec!$G$2:$G$1000,'2024 Summary'!A257,Dec!$H$2:$H$1000)</f>
        <v>0</v>
      </c>
      <c r="AA257" s="13">
        <f>Mar!G59</f>
        <v>0</v>
      </c>
    </row>
    <row r="258" spans="2:27" x14ac:dyDescent="0.25">
      <c r="B258" s="5">
        <f>SUMIF(Jan!$G$2:$G$1000,'2024 Summary'!A258,Jan!$H$2:$H$1000)</f>
        <v>0</v>
      </c>
      <c r="C258" s="5">
        <f>SUMIF(Feb!$G$2:$G$1000,'2024 Summary'!A258,Feb!$H$2:$H$1000)</f>
        <v>0</v>
      </c>
      <c r="D258" s="5">
        <f>SUMIF(Mar!$G$2:$G$1000,'2024 Summary'!A258,Mar!$H$2:$H$1000)</f>
        <v>0</v>
      </c>
      <c r="E258" s="5">
        <f>SUMIF(Apr!$G$2:$G$1000,'2024 Summary'!A258,Apr!$H$2:$H$1000)</f>
        <v>0</v>
      </c>
      <c r="F258" s="5">
        <f>SUMIF(May!$G$2:$G$1000,'2024 Summary'!A258,May!$H$2:$H$1000)</f>
        <v>0</v>
      </c>
      <c r="G258" s="5">
        <f>SUMIF(Jun!$G$2:$G$1000,'2024 Summary'!A258,Jun!$H$2:$H$1000)</f>
        <v>0</v>
      </c>
      <c r="H258" s="5">
        <f>SUMIF(Jul!$G$2:$G$1000,'2024 Summary'!A258,Jul!$H$2:$H$1000)</f>
        <v>0</v>
      </c>
      <c r="I258" s="5">
        <f>SUMIF(Aug!$G$2:$G$1000,'2024 Summary'!A258,Aug!$H$2:$H$1000)</f>
        <v>0</v>
      </c>
      <c r="J258" s="5">
        <f>SUMIF(Sep!$G$2:$G$1000,'2024 Summary'!A258,Sep!$H$2:$H$1000)</f>
        <v>0</v>
      </c>
      <c r="K258" s="5">
        <f>SUMIF(Oct!$G$2:$G$1000,'2024 Summary'!A258,Oct!$H$2:$H$1000)</f>
        <v>0</v>
      </c>
      <c r="L258" s="5">
        <f>SUMIF(Nov!$G$2:$G$1000,'2024 Summary'!A258,Nov!$H$2:$H$1000)</f>
        <v>0</v>
      </c>
      <c r="M258" s="5">
        <f>SUMIF(Dec!$G$2:$G$1000,'2024 Summary'!A258,Dec!$H$2:$H$1000)</f>
        <v>0</v>
      </c>
      <c r="AA258" s="13">
        <f>Mar!G60</f>
        <v>0</v>
      </c>
    </row>
    <row r="259" spans="2:27" x14ac:dyDescent="0.25">
      <c r="B259" s="5">
        <f>SUMIF(Jan!$G$2:$G$1000,'2024 Summary'!A259,Jan!$H$2:$H$1000)</f>
        <v>0</v>
      </c>
      <c r="C259" s="5">
        <f>SUMIF(Feb!$G$2:$G$1000,'2024 Summary'!A259,Feb!$H$2:$H$1000)</f>
        <v>0</v>
      </c>
      <c r="D259" s="5">
        <f>SUMIF(Mar!$G$2:$G$1000,'2024 Summary'!A259,Mar!$H$2:$H$1000)</f>
        <v>0</v>
      </c>
      <c r="E259" s="5">
        <f>SUMIF(Apr!$G$2:$G$1000,'2024 Summary'!A259,Apr!$H$2:$H$1000)</f>
        <v>0</v>
      </c>
      <c r="F259" s="5">
        <f>SUMIF(May!$G$2:$G$1000,'2024 Summary'!A259,May!$H$2:$H$1000)</f>
        <v>0</v>
      </c>
      <c r="G259" s="5">
        <f>SUMIF(Jun!$G$2:$G$1000,'2024 Summary'!A259,Jun!$H$2:$H$1000)</f>
        <v>0</v>
      </c>
      <c r="H259" s="5">
        <f>SUMIF(Jul!$G$2:$G$1000,'2024 Summary'!A259,Jul!$H$2:$H$1000)</f>
        <v>0</v>
      </c>
      <c r="I259" s="5">
        <f>SUMIF(Aug!$G$2:$G$1000,'2024 Summary'!A259,Aug!$H$2:$H$1000)</f>
        <v>0</v>
      </c>
      <c r="J259" s="5">
        <f>SUMIF(Sep!$G$2:$G$1000,'2024 Summary'!A259,Sep!$H$2:$H$1000)</f>
        <v>0</v>
      </c>
      <c r="K259" s="5">
        <f>SUMIF(Oct!$G$2:$G$1000,'2024 Summary'!A259,Oct!$H$2:$H$1000)</f>
        <v>0</v>
      </c>
      <c r="L259" s="5">
        <f>SUMIF(Nov!$G$2:$G$1000,'2024 Summary'!A259,Nov!$H$2:$H$1000)</f>
        <v>0</v>
      </c>
      <c r="M259" s="5">
        <f>SUMIF(Dec!$G$2:$G$1000,'2024 Summary'!A259,Dec!$H$2:$H$1000)</f>
        <v>0</v>
      </c>
      <c r="AA259" s="13">
        <f>Mar!G61</f>
        <v>0</v>
      </c>
    </row>
    <row r="260" spans="2:27" x14ac:dyDescent="0.25">
      <c r="B260" s="5">
        <f>SUMIF(Jan!$G$2:$G$1000,'2024 Summary'!A260,Jan!$H$2:$H$1000)</f>
        <v>0</v>
      </c>
      <c r="C260" s="5">
        <f>SUMIF(Feb!$G$2:$G$1000,'2024 Summary'!A260,Feb!$H$2:$H$1000)</f>
        <v>0</v>
      </c>
      <c r="D260" s="5">
        <f>SUMIF(Mar!$G$2:$G$1000,'2024 Summary'!A260,Mar!$H$2:$H$1000)</f>
        <v>0</v>
      </c>
      <c r="E260" s="5">
        <f>SUMIF(Apr!$G$2:$G$1000,'2024 Summary'!A260,Apr!$H$2:$H$1000)</f>
        <v>0</v>
      </c>
      <c r="F260" s="5">
        <f>SUMIF(May!$G$2:$G$1000,'2024 Summary'!A260,May!$H$2:$H$1000)</f>
        <v>0</v>
      </c>
      <c r="G260" s="5">
        <f>SUMIF(Jun!$G$2:$G$1000,'2024 Summary'!A260,Jun!$H$2:$H$1000)</f>
        <v>0</v>
      </c>
      <c r="H260" s="5">
        <f>SUMIF(Jul!$G$2:$G$1000,'2024 Summary'!A260,Jul!$H$2:$H$1000)</f>
        <v>0</v>
      </c>
      <c r="I260" s="5">
        <f>SUMIF(Aug!$G$2:$G$1000,'2024 Summary'!A260,Aug!$H$2:$H$1000)</f>
        <v>0</v>
      </c>
      <c r="J260" s="5">
        <f>SUMIF(Sep!$G$2:$G$1000,'2024 Summary'!A260,Sep!$H$2:$H$1000)</f>
        <v>0</v>
      </c>
      <c r="K260" s="5">
        <f>SUMIF(Oct!$G$2:$G$1000,'2024 Summary'!A260,Oct!$H$2:$H$1000)</f>
        <v>0</v>
      </c>
      <c r="L260" s="5">
        <f>SUMIF(Nov!$G$2:$G$1000,'2024 Summary'!A260,Nov!$H$2:$H$1000)</f>
        <v>0</v>
      </c>
      <c r="M260" s="5">
        <f>SUMIF(Dec!$G$2:$G$1000,'2024 Summary'!A260,Dec!$H$2:$H$1000)</f>
        <v>0</v>
      </c>
      <c r="AA260" s="13">
        <f>Mar!G62</f>
        <v>0</v>
      </c>
    </row>
    <row r="261" spans="2:27" x14ac:dyDescent="0.25">
      <c r="B261" s="5">
        <f>SUMIF(Jan!$G$2:$G$1000,'2024 Summary'!A261,Jan!$H$2:$H$1000)</f>
        <v>0</v>
      </c>
      <c r="C261" s="5">
        <f>SUMIF(Feb!$G$2:$G$1000,'2024 Summary'!A261,Feb!$H$2:$H$1000)</f>
        <v>0</v>
      </c>
      <c r="D261" s="5">
        <f>SUMIF(Mar!$G$2:$G$1000,'2024 Summary'!A261,Mar!$H$2:$H$1000)</f>
        <v>0</v>
      </c>
      <c r="E261" s="5">
        <f>SUMIF(Apr!$G$2:$G$1000,'2024 Summary'!A261,Apr!$H$2:$H$1000)</f>
        <v>0</v>
      </c>
      <c r="F261" s="5">
        <f>SUMIF(May!$G$2:$G$1000,'2024 Summary'!A261,May!$H$2:$H$1000)</f>
        <v>0</v>
      </c>
      <c r="G261" s="5">
        <f>SUMIF(Jun!$G$2:$G$1000,'2024 Summary'!A261,Jun!$H$2:$H$1000)</f>
        <v>0</v>
      </c>
      <c r="H261" s="5">
        <f>SUMIF(Jul!$G$2:$G$1000,'2024 Summary'!A261,Jul!$H$2:$H$1000)</f>
        <v>0</v>
      </c>
      <c r="I261" s="5">
        <f>SUMIF(Aug!$G$2:$G$1000,'2024 Summary'!A261,Aug!$H$2:$H$1000)</f>
        <v>0</v>
      </c>
      <c r="J261" s="5">
        <f>SUMIF(Sep!$G$2:$G$1000,'2024 Summary'!A261,Sep!$H$2:$H$1000)</f>
        <v>0</v>
      </c>
      <c r="K261" s="5">
        <f>SUMIF(Oct!$G$2:$G$1000,'2024 Summary'!A261,Oct!$H$2:$H$1000)</f>
        <v>0</v>
      </c>
      <c r="L261" s="5">
        <f>SUMIF(Nov!$G$2:$G$1000,'2024 Summary'!A261,Nov!$H$2:$H$1000)</f>
        <v>0</v>
      </c>
      <c r="M261" s="5">
        <f>SUMIF(Dec!$G$2:$G$1000,'2024 Summary'!A261,Dec!$H$2:$H$1000)</f>
        <v>0</v>
      </c>
      <c r="AA261" s="13">
        <f>Mar!G63</f>
        <v>0</v>
      </c>
    </row>
    <row r="262" spans="2:27" x14ac:dyDescent="0.25">
      <c r="B262" s="5">
        <f>SUMIF(Jan!$G$2:$G$1000,'2024 Summary'!A262,Jan!$H$2:$H$1000)</f>
        <v>0</v>
      </c>
      <c r="C262" s="5">
        <f>SUMIF(Feb!$G$2:$G$1000,'2024 Summary'!A262,Feb!$H$2:$H$1000)</f>
        <v>0</v>
      </c>
      <c r="D262" s="5">
        <f>SUMIF(Mar!$G$2:$G$1000,'2024 Summary'!A262,Mar!$H$2:$H$1000)</f>
        <v>0</v>
      </c>
      <c r="E262" s="5">
        <f>SUMIF(Apr!$G$2:$G$1000,'2024 Summary'!A262,Apr!$H$2:$H$1000)</f>
        <v>0</v>
      </c>
      <c r="F262" s="5">
        <f>SUMIF(May!$G$2:$G$1000,'2024 Summary'!A262,May!$H$2:$H$1000)</f>
        <v>0</v>
      </c>
      <c r="G262" s="5">
        <f>SUMIF(Jun!$G$2:$G$1000,'2024 Summary'!A262,Jun!$H$2:$H$1000)</f>
        <v>0</v>
      </c>
      <c r="H262" s="5">
        <f>SUMIF(Jul!$G$2:$G$1000,'2024 Summary'!A262,Jul!$H$2:$H$1000)</f>
        <v>0</v>
      </c>
      <c r="I262" s="5">
        <f>SUMIF(Aug!$G$2:$G$1000,'2024 Summary'!A262,Aug!$H$2:$H$1000)</f>
        <v>0</v>
      </c>
      <c r="J262" s="5">
        <f>SUMIF(Sep!$G$2:$G$1000,'2024 Summary'!A262,Sep!$H$2:$H$1000)</f>
        <v>0</v>
      </c>
      <c r="K262" s="5">
        <f>SUMIF(Oct!$G$2:$G$1000,'2024 Summary'!A262,Oct!$H$2:$H$1000)</f>
        <v>0</v>
      </c>
      <c r="L262" s="5">
        <f>SUMIF(Nov!$G$2:$G$1000,'2024 Summary'!A262,Nov!$H$2:$H$1000)</f>
        <v>0</v>
      </c>
      <c r="M262" s="5">
        <f>SUMIF(Dec!$G$2:$G$1000,'2024 Summary'!A262,Dec!$H$2:$H$1000)</f>
        <v>0</v>
      </c>
      <c r="AA262" s="13">
        <f>Mar!G64</f>
        <v>0</v>
      </c>
    </row>
    <row r="263" spans="2:27" x14ac:dyDescent="0.25">
      <c r="B263" s="5">
        <f>SUMIF(Jan!$G$2:$G$1000,'2024 Summary'!A263,Jan!$H$2:$H$1000)</f>
        <v>0</v>
      </c>
      <c r="C263" s="5">
        <f>SUMIF(Feb!$G$2:$G$1000,'2024 Summary'!A263,Feb!$H$2:$H$1000)</f>
        <v>0</v>
      </c>
      <c r="D263" s="5">
        <f>SUMIF(Mar!$G$2:$G$1000,'2024 Summary'!A263,Mar!$H$2:$H$1000)</f>
        <v>0</v>
      </c>
      <c r="E263" s="5">
        <f>SUMIF(Apr!$G$2:$G$1000,'2024 Summary'!A263,Apr!$H$2:$H$1000)</f>
        <v>0</v>
      </c>
      <c r="F263" s="5">
        <f>SUMIF(May!$G$2:$G$1000,'2024 Summary'!A263,May!$H$2:$H$1000)</f>
        <v>0</v>
      </c>
      <c r="G263" s="5">
        <f>SUMIF(Jun!$G$2:$G$1000,'2024 Summary'!A263,Jun!$H$2:$H$1000)</f>
        <v>0</v>
      </c>
      <c r="H263" s="5">
        <f>SUMIF(Jul!$G$2:$G$1000,'2024 Summary'!A263,Jul!$H$2:$H$1000)</f>
        <v>0</v>
      </c>
      <c r="I263" s="5">
        <f>SUMIF(Aug!$G$2:$G$1000,'2024 Summary'!A263,Aug!$H$2:$H$1000)</f>
        <v>0</v>
      </c>
      <c r="J263" s="5">
        <f>SUMIF(Sep!$G$2:$G$1000,'2024 Summary'!A263,Sep!$H$2:$H$1000)</f>
        <v>0</v>
      </c>
      <c r="K263" s="5">
        <f>SUMIF(Oct!$G$2:$G$1000,'2024 Summary'!A263,Oct!$H$2:$H$1000)</f>
        <v>0</v>
      </c>
      <c r="L263" s="5">
        <f>SUMIF(Nov!$G$2:$G$1000,'2024 Summary'!A263,Nov!$H$2:$H$1000)</f>
        <v>0</v>
      </c>
      <c r="M263" s="5">
        <f>SUMIF(Dec!$G$2:$G$1000,'2024 Summary'!A263,Dec!$H$2:$H$1000)</f>
        <v>0</v>
      </c>
      <c r="AA263" s="13">
        <f>Mar!G65</f>
        <v>0</v>
      </c>
    </row>
    <row r="264" spans="2:27" x14ac:dyDescent="0.25">
      <c r="B264" s="5">
        <f>SUMIF(Jan!$G$2:$G$1000,'2024 Summary'!A264,Jan!$H$2:$H$1000)</f>
        <v>0</v>
      </c>
      <c r="C264" s="5">
        <f>SUMIF(Feb!$G$2:$G$1000,'2024 Summary'!A264,Feb!$H$2:$H$1000)</f>
        <v>0</v>
      </c>
      <c r="D264" s="5">
        <f>SUMIF(Mar!$G$2:$G$1000,'2024 Summary'!A264,Mar!$H$2:$H$1000)</f>
        <v>0</v>
      </c>
      <c r="E264" s="5">
        <f>SUMIF(Apr!$G$2:$G$1000,'2024 Summary'!A264,Apr!$H$2:$H$1000)</f>
        <v>0</v>
      </c>
      <c r="F264" s="5">
        <f>SUMIF(May!$G$2:$G$1000,'2024 Summary'!A264,May!$H$2:$H$1000)</f>
        <v>0</v>
      </c>
      <c r="G264" s="5">
        <f>SUMIF(Jun!$G$2:$G$1000,'2024 Summary'!A264,Jun!$H$2:$H$1000)</f>
        <v>0</v>
      </c>
      <c r="H264" s="5">
        <f>SUMIF(Jul!$G$2:$G$1000,'2024 Summary'!A264,Jul!$H$2:$H$1000)</f>
        <v>0</v>
      </c>
      <c r="I264" s="5">
        <f>SUMIF(Aug!$G$2:$G$1000,'2024 Summary'!A264,Aug!$H$2:$H$1000)</f>
        <v>0</v>
      </c>
      <c r="J264" s="5">
        <f>SUMIF(Sep!$G$2:$G$1000,'2024 Summary'!A264,Sep!$H$2:$H$1000)</f>
        <v>0</v>
      </c>
      <c r="K264" s="5">
        <f>SUMIF(Oct!$G$2:$G$1000,'2024 Summary'!A264,Oct!$H$2:$H$1000)</f>
        <v>0</v>
      </c>
      <c r="L264" s="5">
        <f>SUMIF(Nov!$G$2:$G$1000,'2024 Summary'!A264,Nov!$H$2:$H$1000)</f>
        <v>0</v>
      </c>
      <c r="M264" s="5">
        <f>SUMIF(Dec!$G$2:$G$1000,'2024 Summary'!A264,Dec!$H$2:$H$1000)</f>
        <v>0</v>
      </c>
      <c r="AA264" s="13">
        <f>Mar!G66</f>
        <v>0</v>
      </c>
    </row>
    <row r="265" spans="2:27" x14ac:dyDescent="0.25">
      <c r="B265" s="5">
        <f>SUMIF(Jan!$G$2:$G$1000,'2024 Summary'!A265,Jan!$H$2:$H$1000)</f>
        <v>0</v>
      </c>
      <c r="C265" s="5">
        <f>SUMIF(Feb!$G$2:$G$1000,'2024 Summary'!A265,Feb!$H$2:$H$1000)</f>
        <v>0</v>
      </c>
      <c r="D265" s="5">
        <f>SUMIF(Mar!$G$2:$G$1000,'2024 Summary'!A265,Mar!$H$2:$H$1000)</f>
        <v>0</v>
      </c>
      <c r="E265" s="5">
        <f>SUMIF(Apr!$G$2:$G$1000,'2024 Summary'!A265,Apr!$H$2:$H$1000)</f>
        <v>0</v>
      </c>
      <c r="F265" s="5">
        <f>SUMIF(May!$G$2:$G$1000,'2024 Summary'!A265,May!$H$2:$H$1000)</f>
        <v>0</v>
      </c>
      <c r="G265" s="5">
        <f>SUMIF(Jun!$G$2:$G$1000,'2024 Summary'!A265,Jun!$H$2:$H$1000)</f>
        <v>0</v>
      </c>
      <c r="H265" s="5">
        <f>SUMIF(Jul!$G$2:$G$1000,'2024 Summary'!A265,Jul!$H$2:$H$1000)</f>
        <v>0</v>
      </c>
      <c r="I265" s="5">
        <f>SUMIF(Aug!$G$2:$G$1000,'2024 Summary'!A265,Aug!$H$2:$H$1000)</f>
        <v>0</v>
      </c>
      <c r="J265" s="5">
        <f>SUMIF(Sep!$G$2:$G$1000,'2024 Summary'!A265,Sep!$H$2:$H$1000)</f>
        <v>0</v>
      </c>
      <c r="K265" s="5">
        <f>SUMIF(Oct!$G$2:$G$1000,'2024 Summary'!A265,Oct!$H$2:$H$1000)</f>
        <v>0</v>
      </c>
      <c r="L265" s="5">
        <f>SUMIF(Nov!$G$2:$G$1000,'2024 Summary'!A265,Nov!$H$2:$H$1000)</f>
        <v>0</v>
      </c>
      <c r="M265" s="5">
        <f>SUMIF(Dec!$G$2:$G$1000,'2024 Summary'!A265,Dec!$H$2:$H$1000)</f>
        <v>0</v>
      </c>
      <c r="AA265" s="13">
        <f>Mar!G67</f>
        <v>0</v>
      </c>
    </row>
    <row r="266" spans="2:27" x14ac:dyDescent="0.25">
      <c r="B266" s="5">
        <f>SUMIF(Jan!$G$2:$G$1000,'2024 Summary'!A266,Jan!$H$2:$H$1000)</f>
        <v>0</v>
      </c>
      <c r="C266" s="5">
        <f>SUMIF(Feb!$G$2:$G$1000,'2024 Summary'!A266,Feb!$H$2:$H$1000)</f>
        <v>0</v>
      </c>
      <c r="D266" s="5">
        <f>SUMIF(Mar!$G$2:$G$1000,'2024 Summary'!A266,Mar!$H$2:$H$1000)</f>
        <v>0</v>
      </c>
      <c r="E266" s="5">
        <f>SUMIF(Apr!$G$2:$G$1000,'2024 Summary'!A266,Apr!$H$2:$H$1000)</f>
        <v>0</v>
      </c>
      <c r="F266" s="5">
        <f>SUMIF(May!$G$2:$G$1000,'2024 Summary'!A266,May!$H$2:$H$1000)</f>
        <v>0</v>
      </c>
      <c r="G266" s="5">
        <f>SUMIF(Jun!$G$2:$G$1000,'2024 Summary'!A266,Jun!$H$2:$H$1000)</f>
        <v>0</v>
      </c>
      <c r="H266" s="5">
        <f>SUMIF(Jul!$G$2:$G$1000,'2024 Summary'!A266,Jul!$H$2:$H$1000)</f>
        <v>0</v>
      </c>
      <c r="I266" s="5">
        <f>SUMIF(Aug!$G$2:$G$1000,'2024 Summary'!A266,Aug!$H$2:$H$1000)</f>
        <v>0</v>
      </c>
      <c r="J266" s="5">
        <f>SUMIF(Sep!$G$2:$G$1000,'2024 Summary'!A266,Sep!$H$2:$H$1000)</f>
        <v>0</v>
      </c>
      <c r="K266" s="5">
        <f>SUMIF(Oct!$G$2:$G$1000,'2024 Summary'!A266,Oct!$H$2:$H$1000)</f>
        <v>0</v>
      </c>
      <c r="L266" s="5">
        <f>SUMIF(Nov!$G$2:$G$1000,'2024 Summary'!A266,Nov!$H$2:$H$1000)</f>
        <v>0</v>
      </c>
      <c r="M266" s="5">
        <f>SUMIF(Dec!$G$2:$G$1000,'2024 Summary'!A266,Dec!$H$2:$H$1000)</f>
        <v>0</v>
      </c>
      <c r="AA266" s="13">
        <f>Mar!G68</f>
        <v>0</v>
      </c>
    </row>
    <row r="267" spans="2:27" x14ac:dyDescent="0.25">
      <c r="B267" s="5">
        <f>SUMIF(Jan!$G$2:$G$1000,'2024 Summary'!A267,Jan!$H$2:$H$1000)</f>
        <v>0</v>
      </c>
      <c r="C267" s="5">
        <f>SUMIF(Feb!$G$2:$G$1000,'2024 Summary'!A267,Feb!$H$2:$H$1000)</f>
        <v>0</v>
      </c>
      <c r="D267" s="5">
        <f>SUMIF(Mar!$G$2:$G$1000,'2024 Summary'!A267,Mar!$H$2:$H$1000)</f>
        <v>0</v>
      </c>
      <c r="E267" s="5">
        <f>SUMIF(Apr!$G$2:$G$1000,'2024 Summary'!A267,Apr!$H$2:$H$1000)</f>
        <v>0</v>
      </c>
      <c r="F267" s="5">
        <f>SUMIF(May!$G$2:$G$1000,'2024 Summary'!A267,May!$H$2:$H$1000)</f>
        <v>0</v>
      </c>
      <c r="G267" s="5">
        <f>SUMIF(Jun!$G$2:$G$1000,'2024 Summary'!A267,Jun!$H$2:$H$1000)</f>
        <v>0</v>
      </c>
      <c r="H267" s="5">
        <f>SUMIF(Jul!$G$2:$G$1000,'2024 Summary'!A267,Jul!$H$2:$H$1000)</f>
        <v>0</v>
      </c>
      <c r="I267" s="5">
        <f>SUMIF(Aug!$G$2:$G$1000,'2024 Summary'!A267,Aug!$H$2:$H$1000)</f>
        <v>0</v>
      </c>
      <c r="J267" s="5">
        <f>SUMIF(Sep!$G$2:$G$1000,'2024 Summary'!A267,Sep!$H$2:$H$1000)</f>
        <v>0</v>
      </c>
      <c r="K267" s="5">
        <f>SUMIF(Oct!$G$2:$G$1000,'2024 Summary'!A267,Oct!$H$2:$H$1000)</f>
        <v>0</v>
      </c>
      <c r="L267" s="5">
        <f>SUMIF(Nov!$G$2:$G$1000,'2024 Summary'!A267,Nov!$H$2:$H$1000)</f>
        <v>0</v>
      </c>
      <c r="M267" s="5">
        <f>SUMIF(Dec!$G$2:$G$1000,'2024 Summary'!A267,Dec!$H$2:$H$1000)</f>
        <v>0</v>
      </c>
      <c r="AA267" s="13">
        <f>Mar!G69</f>
        <v>0</v>
      </c>
    </row>
    <row r="268" spans="2:27" x14ac:dyDescent="0.25">
      <c r="B268" s="5">
        <f>SUMIF(Jan!$G$2:$G$1000,'2024 Summary'!A268,Jan!$H$2:$H$1000)</f>
        <v>0</v>
      </c>
      <c r="C268" s="5">
        <f>SUMIF(Feb!$G$2:$G$1000,'2024 Summary'!A268,Feb!$H$2:$H$1000)</f>
        <v>0</v>
      </c>
      <c r="D268" s="5">
        <f>SUMIF(Mar!$G$2:$G$1000,'2024 Summary'!A268,Mar!$H$2:$H$1000)</f>
        <v>0</v>
      </c>
      <c r="E268" s="5">
        <f>SUMIF(Apr!$G$2:$G$1000,'2024 Summary'!A268,Apr!$H$2:$H$1000)</f>
        <v>0</v>
      </c>
      <c r="F268" s="5">
        <f>SUMIF(May!$G$2:$G$1000,'2024 Summary'!A268,May!$H$2:$H$1000)</f>
        <v>0</v>
      </c>
      <c r="G268" s="5">
        <f>SUMIF(Jun!$G$2:$G$1000,'2024 Summary'!A268,Jun!$H$2:$H$1000)</f>
        <v>0</v>
      </c>
      <c r="H268" s="5">
        <f>SUMIF(Jul!$G$2:$G$1000,'2024 Summary'!A268,Jul!$H$2:$H$1000)</f>
        <v>0</v>
      </c>
      <c r="I268" s="5">
        <f>SUMIF(Aug!$G$2:$G$1000,'2024 Summary'!A268,Aug!$H$2:$H$1000)</f>
        <v>0</v>
      </c>
      <c r="J268" s="5">
        <f>SUMIF(Sep!$G$2:$G$1000,'2024 Summary'!A268,Sep!$H$2:$H$1000)</f>
        <v>0</v>
      </c>
      <c r="K268" s="5">
        <f>SUMIF(Oct!$G$2:$G$1000,'2024 Summary'!A268,Oct!$H$2:$H$1000)</f>
        <v>0</v>
      </c>
      <c r="L268" s="5">
        <f>SUMIF(Nov!$G$2:$G$1000,'2024 Summary'!A268,Nov!$H$2:$H$1000)</f>
        <v>0</v>
      </c>
      <c r="M268" s="5">
        <f>SUMIF(Dec!$G$2:$G$1000,'2024 Summary'!A268,Dec!$H$2:$H$1000)</f>
        <v>0</v>
      </c>
      <c r="AA268" s="13">
        <f>Mar!G70</f>
        <v>0</v>
      </c>
    </row>
    <row r="269" spans="2:27" x14ac:dyDescent="0.25">
      <c r="B269" s="5">
        <f>SUMIF(Jan!$G$2:$G$1000,'2024 Summary'!A269,Jan!$H$2:$H$1000)</f>
        <v>0</v>
      </c>
      <c r="C269" s="5">
        <f>SUMIF(Feb!$G$2:$G$1000,'2024 Summary'!A269,Feb!$H$2:$H$1000)</f>
        <v>0</v>
      </c>
      <c r="D269" s="5">
        <f>SUMIF(Mar!$G$2:$G$1000,'2024 Summary'!A269,Mar!$H$2:$H$1000)</f>
        <v>0</v>
      </c>
      <c r="E269" s="5">
        <f>SUMIF(Apr!$G$2:$G$1000,'2024 Summary'!A269,Apr!$H$2:$H$1000)</f>
        <v>0</v>
      </c>
      <c r="F269" s="5">
        <f>SUMIF(May!$G$2:$G$1000,'2024 Summary'!A269,May!$H$2:$H$1000)</f>
        <v>0</v>
      </c>
      <c r="G269" s="5">
        <f>SUMIF(Jun!$G$2:$G$1000,'2024 Summary'!A269,Jun!$H$2:$H$1000)</f>
        <v>0</v>
      </c>
      <c r="H269" s="5">
        <f>SUMIF(Jul!$G$2:$G$1000,'2024 Summary'!A269,Jul!$H$2:$H$1000)</f>
        <v>0</v>
      </c>
      <c r="I269" s="5">
        <f>SUMIF(Aug!$G$2:$G$1000,'2024 Summary'!A269,Aug!$H$2:$H$1000)</f>
        <v>0</v>
      </c>
      <c r="J269" s="5">
        <f>SUMIF(Sep!$G$2:$G$1000,'2024 Summary'!A269,Sep!$H$2:$H$1000)</f>
        <v>0</v>
      </c>
      <c r="K269" s="5">
        <f>SUMIF(Oct!$G$2:$G$1000,'2024 Summary'!A269,Oct!$H$2:$H$1000)</f>
        <v>0</v>
      </c>
      <c r="L269" s="5">
        <f>SUMIF(Nov!$G$2:$G$1000,'2024 Summary'!A269,Nov!$H$2:$H$1000)</f>
        <v>0</v>
      </c>
      <c r="M269" s="5">
        <f>SUMIF(Dec!$G$2:$G$1000,'2024 Summary'!A269,Dec!$H$2:$H$1000)</f>
        <v>0</v>
      </c>
      <c r="AA269" s="13">
        <f>Mar!G71</f>
        <v>0</v>
      </c>
    </row>
    <row r="270" spans="2:27" x14ac:dyDescent="0.25">
      <c r="B270" s="5">
        <f>SUMIF(Jan!$G$2:$G$1000,'2024 Summary'!A270,Jan!$H$2:$H$1000)</f>
        <v>0</v>
      </c>
      <c r="C270" s="5">
        <f>SUMIF(Feb!$G$2:$G$1000,'2024 Summary'!A270,Feb!$H$2:$H$1000)</f>
        <v>0</v>
      </c>
      <c r="D270" s="5">
        <f>SUMIF(Mar!$G$2:$G$1000,'2024 Summary'!A270,Mar!$H$2:$H$1000)</f>
        <v>0</v>
      </c>
      <c r="E270" s="5">
        <f>SUMIF(Apr!$G$2:$G$1000,'2024 Summary'!A270,Apr!$H$2:$H$1000)</f>
        <v>0</v>
      </c>
      <c r="F270" s="5">
        <f>SUMIF(May!$G$2:$G$1000,'2024 Summary'!A270,May!$H$2:$H$1000)</f>
        <v>0</v>
      </c>
      <c r="G270" s="5">
        <f>SUMIF(Jun!$G$2:$G$1000,'2024 Summary'!A270,Jun!$H$2:$H$1000)</f>
        <v>0</v>
      </c>
      <c r="H270" s="5">
        <f>SUMIF(Jul!$G$2:$G$1000,'2024 Summary'!A270,Jul!$H$2:$H$1000)</f>
        <v>0</v>
      </c>
      <c r="I270" s="5">
        <f>SUMIF(Aug!$G$2:$G$1000,'2024 Summary'!A270,Aug!$H$2:$H$1000)</f>
        <v>0</v>
      </c>
      <c r="J270" s="5">
        <f>SUMIF(Sep!$G$2:$G$1000,'2024 Summary'!A270,Sep!$H$2:$H$1000)</f>
        <v>0</v>
      </c>
      <c r="K270" s="5">
        <f>SUMIF(Oct!$G$2:$G$1000,'2024 Summary'!A270,Oct!$H$2:$H$1000)</f>
        <v>0</v>
      </c>
      <c r="L270" s="5">
        <f>SUMIF(Nov!$G$2:$G$1000,'2024 Summary'!A270,Nov!$H$2:$H$1000)</f>
        <v>0</v>
      </c>
      <c r="M270" s="5">
        <f>SUMIF(Dec!$G$2:$G$1000,'2024 Summary'!A270,Dec!$H$2:$H$1000)</f>
        <v>0</v>
      </c>
      <c r="AA270" s="13">
        <f>Mar!G72</f>
        <v>0</v>
      </c>
    </row>
    <row r="271" spans="2:27" x14ac:dyDescent="0.25">
      <c r="B271" s="5">
        <f>SUMIF(Jan!$G$2:$G$1000,'2024 Summary'!A271,Jan!$H$2:$H$1000)</f>
        <v>0</v>
      </c>
      <c r="C271" s="5">
        <f>SUMIF(Feb!$G$2:$G$1000,'2024 Summary'!A271,Feb!$H$2:$H$1000)</f>
        <v>0</v>
      </c>
      <c r="D271" s="5">
        <f>SUMIF(Mar!$G$2:$G$1000,'2024 Summary'!A271,Mar!$H$2:$H$1000)</f>
        <v>0</v>
      </c>
      <c r="E271" s="5">
        <f>SUMIF(Apr!$G$2:$G$1000,'2024 Summary'!A271,Apr!$H$2:$H$1000)</f>
        <v>0</v>
      </c>
      <c r="F271" s="5">
        <f>SUMIF(May!$G$2:$G$1000,'2024 Summary'!A271,May!$H$2:$H$1000)</f>
        <v>0</v>
      </c>
      <c r="G271" s="5">
        <f>SUMIF(Jun!$G$2:$G$1000,'2024 Summary'!A271,Jun!$H$2:$H$1000)</f>
        <v>0</v>
      </c>
      <c r="H271" s="5">
        <f>SUMIF(Jul!$G$2:$G$1000,'2024 Summary'!A271,Jul!$H$2:$H$1000)</f>
        <v>0</v>
      </c>
      <c r="I271" s="5">
        <f>SUMIF(Aug!$G$2:$G$1000,'2024 Summary'!A271,Aug!$H$2:$H$1000)</f>
        <v>0</v>
      </c>
      <c r="J271" s="5">
        <f>SUMIF(Sep!$G$2:$G$1000,'2024 Summary'!A271,Sep!$H$2:$H$1000)</f>
        <v>0</v>
      </c>
      <c r="K271" s="5">
        <f>SUMIF(Oct!$G$2:$G$1000,'2024 Summary'!A271,Oct!$H$2:$H$1000)</f>
        <v>0</v>
      </c>
      <c r="L271" s="5">
        <f>SUMIF(Nov!$G$2:$G$1000,'2024 Summary'!A271,Nov!$H$2:$H$1000)</f>
        <v>0</v>
      </c>
      <c r="M271" s="5">
        <f>SUMIF(Dec!$G$2:$G$1000,'2024 Summary'!A271,Dec!$H$2:$H$1000)</f>
        <v>0</v>
      </c>
      <c r="AA271" s="13">
        <f>Mar!G73</f>
        <v>0</v>
      </c>
    </row>
    <row r="272" spans="2:27" x14ac:dyDescent="0.25">
      <c r="B272" s="5">
        <f>SUMIF(Jan!$G$2:$G$1000,'2024 Summary'!A272,Jan!$H$2:$H$1000)</f>
        <v>0</v>
      </c>
      <c r="C272" s="5">
        <f>SUMIF(Feb!$G$2:$G$1000,'2024 Summary'!A272,Feb!$H$2:$H$1000)</f>
        <v>0</v>
      </c>
      <c r="D272" s="5">
        <f>SUMIF(Mar!$G$2:$G$1000,'2024 Summary'!A272,Mar!$H$2:$H$1000)</f>
        <v>0</v>
      </c>
      <c r="E272" s="5">
        <f>SUMIF(Apr!$G$2:$G$1000,'2024 Summary'!A272,Apr!$H$2:$H$1000)</f>
        <v>0</v>
      </c>
      <c r="F272" s="5">
        <f>SUMIF(May!$G$2:$G$1000,'2024 Summary'!A272,May!$H$2:$H$1000)</f>
        <v>0</v>
      </c>
      <c r="G272" s="5">
        <f>SUMIF(Jun!$G$2:$G$1000,'2024 Summary'!A272,Jun!$H$2:$H$1000)</f>
        <v>0</v>
      </c>
      <c r="H272" s="5">
        <f>SUMIF(Jul!$G$2:$G$1000,'2024 Summary'!A272,Jul!$H$2:$H$1000)</f>
        <v>0</v>
      </c>
      <c r="I272" s="5">
        <f>SUMIF(Aug!$G$2:$G$1000,'2024 Summary'!A272,Aug!$H$2:$H$1000)</f>
        <v>0</v>
      </c>
      <c r="J272" s="5">
        <f>SUMIF(Sep!$G$2:$G$1000,'2024 Summary'!A272,Sep!$H$2:$H$1000)</f>
        <v>0</v>
      </c>
      <c r="K272" s="5">
        <f>SUMIF(Oct!$G$2:$G$1000,'2024 Summary'!A272,Oct!$H$2:$H$1000)</f>
        <v>0</v>
      </c>
      <c r="L272" s="5">
        <f>SUMIF(Nov!$G$2:$G$1000,'2024 Summary'!A272,Nov!$H$2:$H$1000)</f>
        <v>0</v>
      </c>
      <c r="M272" s="5">
        <f>SUMIF(Dec!$G$2:$G$1000,'2024 Summary'!A272,Dec!$H$2:$H$1000)</f>
        <v>0</v>
      </c>
      <c r="AA272" s="13">
        <f>Mar!G74</f>
        <v>0</v>
      </c>
    </row>
    <row r="273" spans="2:27" x14ac:dyDescent="0.25">
      <c r="B273" s="5">
        <f>SUMIF(Jan!$G$2:$G$1000,'2024 Summary'!A273,Jan!$H$2:$H$1000)</f>
        <v>0</v>
      </c>
      <c r="C273" s="5">
        <f>SUMIF(Feb!$G$2:$G$1000,'2024 Summary'!A273,Feb!$H$2:$H$1000)</f>
        <v>0</v>
      </c>
      <c r="D273" s="5">
        <f>SUMIF(Mar!$G$2:$G$1000,'2024 Summary'!A273,Mar!$H$2:$H$1000)</f>
        <v>0</v>
      </c>
      <c r="E273" s="5">
        <f>SUMIF(Apr!$G$2:$G$1000,'2024 Summary'!A273,Apr!$H$2:$H$1000)</f>
        <v>0</v>
      </c>
      <c r="F273" s="5">
        <f>SUMIF(May!$G$2:$G$1000,'2024 Summary'!A273,May!$H$2:$H$1000)</f>
        <v>0</v>
      </c>
      <c r="G273" s="5">
        <f>SUMIF(Jun!$G$2:$G$1000,'2024 Summary'!A273,Jun!$H$2:$H$1000)</f>
        <v>0</v>
      </c>
      <c r="H273" s="5">
        <f>SUMIF(Jul!$G$2:$G$1000,'2024 Summary'!A273,Jul!$H$2:$H$1000)</f>
        <v>0</v>
      </c>
      <c r="I273" s="5">
        <f>SUMIF(Aug!$G$2:$G$1000,'2024 Summary'!A273,Aug!$H$2:$H$1000)</f>
        <v>0</v>
      </c>
      <c r="J273" s="5">
        <f>SUMIF(Sep!$G$2:$G$1000,'2024 Summary'!A273,Sep!$H$2:$H$1000)</f>
        <v>0</v>
      </c>
      <c r="K273" s="5">
        <f>SUMIF(Oct!$G$2:$G$1000,'2024 Summary'!A273,Oct!$H$2:$H$1000)</f>
        <v>0</v>
      </c>
      <c r="L273" s="5">
        <f>SUMIF(Nov!$G$2:$G$1000,'2024 Summary'!A273,Nov!$H$2:$H$1000)</f>
        <v>0</v>
      </c>
      <c r="M273" s="5">
        <f>SUMIF(Dec!$G$2:$G$1000,'2024 Summary'!A273,Dec!$H$2:$H$1000)</f>
        <v>0</v>
      </c>
      <c r="AA273" s="13">
        <f>Mar!G75</f>
        <v>0</v>
      </c>
    </row>
    <row r="274" spans="2:27" x14ac:dyDescent="0.25">
      <c r="B274" s="5">
        <f>SUMIF(Jan!$G$2:$G$1000,'2024 Summary'!A274,Jan!$H$2:$H$1000)</f>
        <v>0</v>
      </c>
      <c r="C274" s="5">
        <f>SUMIF(Feb!$G$2:$G$1000,'2024 Summary'!A274,Feb!$H$2:$H$1000)</f>
        <v>0</v>
      </c>
      <c r="D274" s="5">
        <f>SUMIF(Mar!$G$2:$G$1000,'2024 Summary'!A274,Mar!$H$2:$H$1000)</f>
        <v>0</v>
      </c>
      <c r="E274" s="5">
        <f>SUMIF(Apr!$G$2:$G$1000,'2024 Summary'!A274,Apr!$H$2:$H$1000)</f>
        <v>0</v>
      </c>
      <c r="F274" s="5">
        <f>SUMIF(May!$G$2:$G$1000,'2024 Summary'!A274,May!$H$2:$H$1000)</f>
        <v>0</v>
      </c>
      <c r="G274" s="5">
        <f>SUMIF(Jun!$G$2:$G$1000,'2024 Summary'!A274,Jun!$H$2:$H$1000)</f>
        <v>0</v>
      </c>
      <c r="H274" s="5">
        <f>SUMIF(Jul!$G$2:$G$1000,'2024 Summary'!A274,Jul!$H$2:$H$1000)</f>
        <v>0</v>
      </c>
      <c r="I274" s="5">
        <f>SUMIF(Aug!$G$2:$G$1000,'2024 Summary'!A274,Aug!$H$2:$H$1000)</f>
        <v>0</v>
      </c>
      <c r="J274" s="5">
        <f>SUMIF(Sep!$G$2:$G$1000,'2024 Summary'!A274,Sep!$H$2:$H$1000)</f>
        <v>0</v>
      </c>
      <c r="K274" s="5">
        <f>SUMIF(Oct!$G$2:$G$1000,'2024 Summary'!A274,Oct!$H$2:$H$1000)</f>
        <v>0</v>
      </c>
      <c r="L274" s="5">
        <f>SUMIF(Nov!$G$2:$G$1000,'2024 Summary'!A274,Nov!$H$2:$H$1000)</f>
        <v>0</v>
      </c>
      <c r="M274" s="5">
        <f>SUMIF(Dec!$G$2:$G$1000,'2024 Summary'!A274,Dec!$H$2:$H$1000)</f>
        <v>0</v>
      </c>
      <c r="AA274" s="13">
        <f>Mar!G76</f>
        <v>0</v>
      </c>
    </row>
    <row r="275" spans="2:27" x14ac:dyDescent="0.25">
      <c r="B275" s="5">
        <f>SUMIF(Jan!$G$2:$G$1000,'2024 Summary'!A275,Jan!$H$2:$H$1000)</f>
        <v>0</v>
      </c>
      <c r="C275" s="5">
        <f>SUMIF(Feb!$G$2:$G$1000,'2024 Summary'!A275,Feb!$H$2:$H$1000)</f>
        <v>0</v>
      </c>
      <c r="D275" s="5">
        <f>SUMIF(Mar!$G$2:$G$1000,'2024 Summary'!A275,Mar!$H$2:$H$1000)</f>
        <v>0</v>
      </c>
      <c r="E275" s="5">
        <f>SUMIF(Apr!$G$2:$G$1000,'2024 Summary'!A275,Apr!$H$2:$H$1000)</f>
        <v>0</v>
      </c>
      <c r="F275" s="5">
        <f>SUMIF(May!$G$2:$G$1000,'2024 Summary'!A275,May!$H$2:$H$1000)</f>
        <v>0</v>
      </c>
      <c r="G275" s="5">
        <f>SUMIF(Jun!$G$2:$G$1000,'2024 Summary'!A275,Jun!$H$2:$H$1000)</f>
        <v>0</v>
      </c>
      <c r="H275" s="5">
        <f>SUMIF(Jul!$G$2:$G$1000,'2024 Summary'!A275,Jul!$H$2:$H$1000)</f>
        <v>0</v>
      </c>
      <c r="I275" s="5">
        <f>SUMIF(Aug!$G$2:$G$1000,'2024 Summary'!A275,Aug!$H$2:$H$1000)</f>
        <v>0</v>
      </c>
      <c r="J275" s="5">
        <f>SUMIF(Sep!$G$2:$G$1000,'2024 Summary'!A275,Sep!$H$2:$H$1000)</f>
        <v>0</v>
      </c>
      <c r="K275" s="5">
        <f>SUMIF(Oct!$G$2:$G$1000,'2024 Summary'!A275,Oct!$H$2:$H$1000)</f>
        <v>0</v>
      </c>
      <c r="L275" s="5">
        <f>SUMIF(Nov!$G$2:$G$1000,'2024 Summary'!A275,Nov!$H$2:$H$1000)</f>
        <v>0</v>
      </c>
      <c r="M275" s="5">
        <f>SUMIF(Dec!$G$2:$G$1000,'2024 Summary'!A275,Dec!$H$2:$H$1000)</f>
        <v>0</v>
      </c>
      <c r="AA275" s="13">
        <f>Mar!G77</f>
        <v>0</v>
      </c>
    </row>
    <row r="276" spans="2:27" x14ac:dyDescent="0.25">
      <c r="B276" s="5">
        <f>SUMIF(Jan!$G$2:$G$1000,'2024 Summary'!A276,Jan!$H$2:$H$1000)</f>
        <v>0</v>
      </c>
      <c r="C276" s="5">
        <f>SUMIF(Feb!$G$2:$G$1000,'2024 Summary'!A276,Feb!$H$2:$H$1000)</f>
        <v>0</v>
      </c>
      <c r="D276" s="5">
        <f>SUMIF(Mar!$G$2:$G$1000,'2024 Summary'!A276,Mar!$H$2:$H$1000)</f>
        <v>0</v>
      </c>
      <c r="E276" s="5">
        <f>SUMIF(Apr!$G$2:$G$1000,'2024 Summary'!A276,Apr!$H$2:$H$1000)</f>
        <v>0</v>
      </c>
      <c r="F276" s="5">
        <f>SUMIF(May!$G$2:$G$1000,'2024 Summary'!A276,May!$H$2:$H$1000)</f>
        <v>0</v>
      </c>
      <c r="G276" s="5">
        <f>SUMIF(Jun!$G$2:$G$1000,'2024 Summary'!A276,Jun!$H$2:$H$1000)</f>
        <v>0</v>
      </c>
      <c r="H276" s="5">
        <f>SUMIF(Jul!$G$2:$G$1000,'2024 Summary'!A276,Jul!$H$2:$H$1000)</f>
        <v>0</v>
      </c>
      <c r="I276" s="5">
        <f>SUMIF(Aug!$G$2:$G$1000,'2024 Summary'!A276,Aug!$H$2:$H$1000)</f>
        <v>0</v>
      </c>
      <c r="J276" s="5">
        <f>SUMIF(Sep!$G$2:$G$1000,'2024 Summary'!A276,Sep!$H$2:$H$1000)</f>
        <v>0</v>
      </c>
      <c r="K276" s="5">
        <f>SUMIF(Oct!$G$2:$G$1000,'2024 Summary'!A276,Oct!$H$2:$H$1000)</f>
        <v>0</v>
      </c>
      <c r="L276" s="5">
        <f>SUMIF(Nov!$G$2:$G$1000,'2024 Summary'!A276,Nov!$H$2:$H$1000)</f>
        <v>0</v>
      </c>
      <c r="M276" s="5">
        <f>SUMIF(Dec!$G$2:$G$1000,'2024 Summary'!A276,Dec!$H$2:$H$1000)</f>
        <v>0</v>
      </c>
      <c r="AA276" s="13">
        <f>Mar!G78</f>
        <v>0</v>
      </c>
    </row>
    <row r="277" spans="2:27" x14ac:dyDescent="0.25">
      <c r="B277" s="5">
        <f>SUMIF(Jan!$G$2:$G$1000,'2024 Summary'!A277,Jan!$H$2:$H$1000)</f>
        <v>0</v>
      </c>
      <c r="C277" s="5">
        <f>SUMIF(Feb!$G$2:$G$1000,'2024 Summary'!A277,Feb!$H$2:$H$1000)</f>
        <v>0</v>
      </c>
      <c r="D277" s="5">
        <f>SUMIF(Mar!$G$2:$G$1000,'2024 Summary'!A277,Mar!$H$2:$H$1000)</f>
        <v>0</v>
      </c>
      <c r="E277" s="5">
        <f>SUMIF(Apr!$G$2:$G$1000,'2024 Summary'!A277,Apr!$H$2:$H$1000)</f>
        <v>0</v>
      </c>
      <c r="F277" s="5">
        <f>SUMIF(May!$G$2:$G$1000,'2024 Summary'!A277,May!$H$2:$H$1000)</f>
        <v>0</v>
      </c>
      <c r="G277" s="5">
        <f>SUMIF(Jun!$G$2:$G$1000,'2024 Summary'!A277,Jun!$H$2:$H$1000)</f>
        <v>0</v>
      </c>
      <c r="H277" s="5">
        <f>SUMIF(Jul!$G$2:$G$1000,'2024 Summary'!A277,Jul!$H$2:$H$1000)</f>
        <v>0</v>
      </c>
      <c r="I277" s="5">
        <f>SUMIF(Aug!$G$2:$G$1000,'2024 Summary'!A277,Aug!$H$2:$H$1000)</f>
        <v>0</v>
      </c>
      <c r="J277" s="5">
        <f>SUMIF(Sep!$G$2:$G$1000,'2024 Summary'!A277,Sep!$H$2:$H$1000)</f>
        <v>0</v>
      </c>
      <c r="K277" s="5">
        <f>SUMIF(Oct!$G$2:$G$1000,'2024 Summary'!A277,Oct!$H$2:$H$1000)</f>
        <v>0</v>
      </c>
      <c r="L277" s="5">
        <f>SUMIF(Nov!$G$2:$G$1000,'2024 Summary'!A277,Nov!$H$2:$H$1000)</f>
        <v>0</v>
      </c>
      <c r="M277" s="5">
        <f>SUMIF(Dec!$G$2:$G$1000,'2024 Summary'!A277,Dec!$H$2:$H$1000)</f>
        <v>0</v>
      </c>
      <c r="AA277" s="13">
        <f>Mar!G79</f>
        <v>0</v>
      </c>
    </row>
    <row r="278" spans="2:27" x14ac:dyDescent="0.25">
      <c r="B278" s="5">
        <f>SUMIF(Jan!$G$2:$G$1000,'2024 Summary'!A278,Jan!$H$2:$H$1000)</f>
        <v>0</v>
      </c>
      <c r="C278" s="5">
        <f>SUMIF(Feb!$G$2:$G$1000,'2024 Summary'!A278,Feb!$H$2:$H$1000)</f>
        <v>0</v>
      </c>
      <c r="D278" s="5">
        <f>SUMIF(Mar!$G$2:$G$1000,'2024 Summary'!A278,Mar!$H$2:$H$1000)</f>
        <v>0</v>
      </c>
      <c r="E278" s="5">
        <f>SUMIF(Apr!$G$2:$G$1000,'2024 Summary'!A278,Apr!$H$2:$H$1000)</f>
        <v>0</v>
      </c>
      <c r="F278" s="5">
        <f>SUMIF(May!$G$2:$G$1000,'2024 Summary'!A278,May!$H$2:$H$1000)</f>
        <v>0</v>
      </c>
      <c r="G278" s="5">
        <f>SUMIF(Jun!$G$2:$G$1000,'2024 Summary'!A278,Jun!$H$2:$H$1000)</f>
        <v>0</v>
      </c>
      <c r="H278" s="5">
        <f>SUMIF(Jul!$G$2:$G$1000,'2024 Summary'!A278,Jul!$H$2:$H$1000)</f>
        <v>0</v>
      </c>
      <c r="I278" s="5">
        <f>SUMIF(Aug!$G$2:$G$1000,'2024 Summary'!A278,Aug!$H$2:$H$1000)</f>
        <v>0</v>
      </c>
      <c r="J278" s="5">
        <f>SUMIF(Sep!$G$2:$G$1000,'2024 Summary'!A278,Sep!$H$2:$H$1000)</f>
        <v>0</v>
      </c>
      <c r="K278" s="5">
        <f>SUMIF(Oct!$G$2:$G$1000,'2024 Summary'!A278,Oct!$H$2:$H$1000)</f>
        <v>0</v>
      </c>
      <c r="L278" s="5">
        <f>SUMIF(Nov!$G$2:$G$1000,'2024 Summary'!A278,Nov!$H$2:$H$1000)</f>
        <v>0</v>
      </c>
      <c r="M278" s="5">
        <f>SUMIF(Dec!$G$2:$G$1000,'2024 Summary'!A278,Dec!$H$2:$H$1000)</f>
        <v>0</v>
      </c>
      <c r="AA278" s="13">
        <f>Mar!G80</f>
        <v>0</v>
      </c>
    </row>
    <row r="279" spans="2:27" x14ac:dyDescent="0.25">
      <c r="B279" s="5">
        <f>SUMIF(Jan!$G$2:$G$1000,'2024 Summary'!A279,Jan!$H$2:$H$1000)</f>
        <v>0</v>
      </c>
      <c r="C279" s="5">
        <f>SUMIF(Feb!$G$2:$G$1000,'2024 Summary'!A279,Feb!$H$2:$H$1000)</f>
        <v>0</v>
      </c>
      <c r="D279" s="5">
        <f>SUMIF(Mar!$G$2:$G$1000,'2024 Summary'!A279,Mar!$H$2:$H$1000)</f>
        <v>0</v>
      </c>
      <c r="E279" s="5">
        <f>SUMIF(Apr!$G$2:$G$1000,'2024 Summary'!A279,Apr!$H$2:$H$1000)</f>
        <v>0</v>
      </c>
      <c r="F279" s="5">
        <f>SUMIF(May!$G$2:$G$1000,'2024 Summary'!A279,May!$H$2:$H$1000)</f>
        <v>0</v>
      </c>
      <c r="G279" s="5">
        <f>SUMIF(Jun!$G$2:$G$1000,'2024 Summary'!A279,Jun!$H$2:$H$1000)</f>
        <v>0</v>
      </c>
      <c r="H279" s="5">
        <f>SUMIF(Jul!$G$2:$G$1000,'2024 Summary'!A279,Jul!$H$2:$H$1000)</f>
        <v>0</v>
      </c>
      <c r="I279" s="5">
        <f>SUMIF(Aug!$G$2:$G$1000,'2024 Summary'!A279,Aug!$H$2:$H$1000)</f>
        <v>0</v>
      </c>
      <c r="J279" s="5">
        <f>SUMIF(Sep!$G$2:$G$1000,'2024 Summary'!A279,Sep!$H$2:$H$1000)</f>
        <v>0</v>
      </c>
      <c r="K279" s="5">
        <f>SUMIF(Oct!$G$2:$G$1000,'2024 Summary'!A279,Oct!$H$2:$H$1000)</f>
        <v>0</v>
      </c>
      <c r="L279" s="5">
        <f>SUMIF(Nov!$G$2:$G$1000,'2024 Summary'!A279,Nov!$H$2:$H$1000)</f>
        <v>0</v>
      </c>
      <c r="M279" s="5">
        <f>SUMIF(Dec!$G$2:$G$1000,'2024 Summary'!A279,Dec!$H$2:$H$1000)</f>
        <v>0</v>
      </c>
      <c r="AA279" s="13">
        <f>Mar!G81</f>
        <v>0</v>
      </c>
    </row>
    <row r="280" spans="2:27" x14ac:dyDescent="0.25">
      <c r="B280" s="5">
        <f>SUMIF(Jan!$G$2:$G$1000,'2024 Summary'!A280,Jan!$H$2:$H$1000)</f>
        <v>0</v>
      </c>
      <c r="C280" s="5">
        <f>SUMIF(Feb!$G$2:$G$1000,'2024 Summary'!A280,Feb!$H$2:$H$1000)</f>
        <v>0</v>
      </c>
      <c r="D280" s="5">
        <f>SUMIF(Mar!$G$2:$G$1000,'2024 Summary'!A280,Mar!$H$2:$H$1000)</f>
        <v>0</v>
      </c>
      <c r="E280" s="5">
        <f>SUMIF(Apr!$G$2:$G$1000,'2024 Summary'!A280,Apr!$H$2:$H$1000)</f>
        <v>0</v>
      </c>
      <c r="F280" s="5">
        <f>SUMIF(May!$G$2:$G$1000,'2024 Summary'!A280,May!$H$2:$H$1000)</f>
        <v>0</v>
      </c>
      <c r="G280" s="5">
        <f>SUMIF(Jun!$G$2:$G$1000,'2024 Summary'!A280,Jun!$H$2:$H$1000)</f>
        <v>0</v>
      </c>
      <c r="H280" s="5">
        <f>SUMIF(Jul!$G$2:$G$1000,'2024 Summary'!A280,Jul!$H$2:$H$1000)</f>
        <v>0</v>
      </c>
      <c r="I280" s="5">
        <f>SUMIF(Aug!$G$2:$G$1000,'2024 Summary'!A280,Aug!$H$2:$H$1000)</f>
        <v>0</v>
      </c>
      <c r="J280" s="5">
        <f>SUMIF(Sep!$G$2:$G$1000,'2024 Summary'!A280,Sep!$H$2:$H$1000)</f>
        <v>0</v>
      </c>
      <c r="K280" s="5">
        <f>SUMIF(Oct!$G$2:$G$1000,'2024 Summary'!A280,Oct!$H$2:$H$1000)</f>
        <v>0</v>
      </c>
      <c r="L280" s="5">
        <f>SUMIF(Nov!$G$2:$G$1000,'2024 Summary'!A280,Nov!$H$2:$H$1000)</f>
        <v>0</v>
      </c>
      <c r="M280" s="5">
        <f>SUMIF(Dec!$G$2:$G$1000,'2024 Summary'!A280,Dec!$H$2:$H$1000)</f>
        <v>0</v>
      </c>
      <c r="AA280" s="13">
        <f>Mar!G82</f>
        <v>0</v>
      </c>
    </row>
    <row r="281" spans="2:27" x14ac:dyDescent="0.25">
      <c r="B281" s="5">
        <f>SUMIF(Jan!$G$2:$G$1000,'2024 Summary'!A281,Jan!$H$2:$H$1000)</f>
        <v>0</v>
      </c>
      <c r="C281" s="5">
        <f>SUMIF(Feb!$G$2:$G$1000,'2024 Summary'!A281,Feb!$H$2:$H$1000)</f>
        <v>0</v>
      </c>
      <c r="D281" s="5">
        <f>SUMIF(Mar!$G$2:$G$1000,'2024 Summary'!A281,Mar!$H$2:$H$1000)</f>
        <v>0</v>
      </c>
      <c r="E281" s="5">
        <f>SUMIF(Apr!$G$2:$G$1000,'2024 Summary'!A281,Apr!$H$2:$H$1000)</f>
        <v>0</v>
      </c>
      <c r="F281" s="5">
        <f>SUMIF(May!$G$2:$G$1000,'2024 Summary'!A281,May!$H$2:$H$1000)</f>
        <v>0</v>
      </c>
      <c r="G281" s="5">
        <f>SUMIF(Jun!$G$2:$G$1000,'2024 Summary'!A281,Jun!$H$2:$H$1000)</f>
        <v>0</v>
      </c>
      <c r="H281" s="5">
        <f>SUMIF(Jul!$G$2:$G$1000,'2024 Summary'!A281,Jul!$H$2:$H$1000)</f>
        <v>0</v>
      </c>
      <c r="I281" s="5">
        <f>SUMIF(Aug!$G$2:$G$1000,'2024 Summary'!A281,Aug!$H$2:$H$1000)</f>
        <v>0</v>
      </c>
      <c r="J281" s="5">
        <f>SUMIF(Sep!$G$2:$G$1000,'2024 Summary'!A281,Sep!$H$2:$H$1000)</f>
        <v>0</v>
      </c>
      <c r="K281" s="5">
        <f>SUMIF(Oct!$G$2:$G$1000,'2024 Summary'!A281,Oct!$H$2:$H$1000)</f>
        <v>0</v>
      </c>
      <c r="L281" s="5">
        <f>SUMIF(Nov!$G$2:$G$1000,'2024 Summary'!A281,Nov!$H$2:$H$1000)</f>
        <v>0</v>
      </c>
      <c r="M281" s="5">
        <f>SUMIF(Dec!$G$2:$G$1000,'2024 Summary'!A281,Dec!$H$2:$H$1000)</f>
        <v>0</v>
      </c>
      <c r="AA281" s="13">
        <f>Mar!G83</f>
        <v>0</v>
      </c>
    </row>
    <row r="282" spans="2:27" x14ac:dyDescent="0.25">
      <c r="B282" s="5">
        <f>SUMIF(Jan!$G$2:$G$1000,'2024 Summary'!A282,Jan!$H$2:$H$1000)</f>
        <v>0</v>
      </c>
      <c r="C282" s="5">
        <f>SUMIF(Feb!$G$2:$G$1000,'2024 Summary'!A282,Feb!$H$2:$H$1000)</f>
        <v>0</v>
      </c>
      <c r="D282" s="5">
        <f>SUMIF(Mar!$G$2:$G$1000,'2024 Summary'!A282,Mar!$H$2:$H$1000)</f>
        <v>0</v>
      </c>
      <c r="E282" s="5">
        <f>SUMIF(Apr!$G$2:$G$1000,'2024 Summary'!A282,Apr!$H$2:$H$1000)</f>
        <v>0</v>
      </c>
      <c r="F282" s="5">
        <f>SUMIF(May!$G$2:$G$1000,'2024 Summary'!A282,May!$H$2:$H$1000)</f>
        <v>0</v>
      </c>
      <c r="G282" s="5">
        <f>SUMIF(Jun!$G$2:$G$1000,'2024 Summary'!A282,Jun!$H$2:$H$1000)</f>
        <v>0</v>
      </c>
      <c r="H282" s="5">
        <f>SUMIF(Jul!$G$2:$G$1000,'2024 Summary'!A282,Jul!$H$2:$H$1000)</f>
        <v>0</v>
      </c>
      <c r="I282" s="5">
        <f>SUMIF(Aug!$G$2:$G$1000,'2024 Summary'!A282,Aug!$H$2:$H$1000)</f>
        <v>0</v>
      </c>
      <c r="J282" s="5">
        <f>SUMIF(Sep!$G$2:$G$1000,'2024 Summary'!A282,Sep!$H$2:$H$1000)</f>
        <v>0</v>
      </c>
      <c r="K282" s="5">
        <f>SUMIF(Oct!$G$2:$G$1000,'2024 Summary'!A282,Oct!$H$2:$H$1000)</f>
        <v>0</v>
      </c>
      <c r="L282" s="5">
        <f>SUMIF(Nov!$G$2:$G$1000,'2024 Summary'!A282,Nov!$H$2:$H$1000)</f>
        <v>0</v>
      </c>
      <c r="M282" s="5">
        <f>SUMIF(Dec!$G$2:$G$1000,'2024 Summary'!A282,Dec!$H$2:$H$1000)</f>
        <v>0</v>
      </c>
      <c r="AA282" s="13">
        <f>Mar!G84</f>
        <v>0</v>
      </c>
    </row>
    <row r="283" spans="2:27" x14ac:dyDescent="0.25">
      <c r="B283" s="5">
        <f>SUMIF(Jan!$G$2:$G$1000,'2024 Summary'!A283,Jan!$H$2:$H$1000)</f>
        <v>0</v>
      </c>
      <c r="C283" s="5">
        <f>SUMIF(Feb!$G$2:$G$1000,'2024 Summary'!A283,Feb!$H$2:$H$1000)</f>
        <v>0</v>
      </c>
      <c r="D283" s="5">
        <f>SUMIF(Mar!$G$2:$G$1000,'2024 Summary'!A283,Mar!$H$2:$H$1000)</f>
        <v>0</v>
      </c>
      <c r="E283" s="5">
        <f>SUMIF(Apr!$G$2:$G$1000,'2024 Summary'!A283,Apr!$H$2:$H$1000)</f>
        <v>0</v>
      </c>
      <c r="F283" s="5">
        <f>SUMIF(May!$G$2:$G$1000,'2024 Summary'!A283,May!$H$2:$H$1000)</f>
        <v>0</v>
      </c>
      <c r="G283" s="5">
        <f>SUMIF(Jun!$G$2:$G$1000,'2024 Summary'!A283,Jun!$H$2:$H$1000)</f>
        <v>0</v>
      </c>
      <c r="H283" s="5">
        <f>SUMIF(Jul!$G$2:$G$1000,'2024 Summary'!A283,Jul!$H$2:$H$1000)</f>
        <v>0</v>
      </c>
      <c r="I283" s="5">
        <f>SUMIF(Aug!$G$2:$G$1000,'2024 Summary'!A283,Aug!$H$2:$H$1000)</f>
        <v>0</v>
      </c>
      <c r="J283" s="5">
        <f>SUMIF(Sep!$G$2:$G$1000,'2024 Summary'!A283,Sep!$H$2:$H$1000)</f>
        <v>0</v>
      </c>
      <c r="K283" s="5">
        <f>SUMIF(Oct!$G$2:$G$1000,'2024 Summary'!A283,Oct!$H$2:$H$1000)</f>
        <v>0</v>
      </c>
      <c r="L283" s="5">
        <f>SUMIF(Nov!$G$2:$G$1000,'2024 Summary'!A283,Nov!$H$2:$H$1000)</f>
        <v>0</v>
      </c>
      <c r="M283" s="5">
        <f>SUMIF(Dec!$G$2:$G$1000,'2024 Summary'!A283,Dec!$H$2:$H$1000)</f>
        <v>0</v>
      </c>
      <c r="AA283" s="13">
        <f>Mar!G85</f>
        <v>0</v>
      </c>
    </row>
    <row r="284" spans="2:27" x14ac:dyDescent="0.25">
      <c r="B284" s="5">
        <f>SUMIF(Jan!$G$2:$G$1000,'2024 Summary'!A284,Jan!$H$2:$H$1000)</f>
        <v>0</v>
      </c>
      <c r="C284" s="5">
        <f>SUMIF(Feb!$G$2:$G$1000,'2024 Summary'!A284,Feb!$H$2:$H$1000)</f>
        <v>0</v>
      </c>
      <c r="D284" s="5">
        <f>SUMIF(Mar!$G$2:$G$1000,'2024 Summary'!A284,Mar!$H$2:$H$1000)</f>
        <v>0</v>
      </c>
      <c r="E284" s="5">
        <f>SUMIF(Apr!$G$2:$G$1000,'2024 Summary'!A284,Apr!$H$2:$H$1000)</f>
        <v>0</v>
      </c>
      <c r="F284" s="5">
        <f>SUMIF(May!$G$2:$G$1000,'2024 Summary'!A284,May!$H$2:$H$1000)</f>
        <v>0</v>
      </c>
      <c r="G284" s="5">
        <f>SUMIF(Jun!$G$2:$G$1000,'2024 Summary'!A284,Jun!$H$2:$H$1000)</f>
        <v>0</v>
      </c>
      <c r="H284" s="5">
        <f>SUMIF(Jul!$G$2:$G$1000,'2024 Summary'!A284,Jul!$H$2:$H$1000)</f>
        <v>0</v>
      </c>
      <c r="I284" s="5">
        <f>SUMIF(Aug!$G$2:$G$1000,'2024 Summary'!A284,Aug!$H$2:$H$1000)</f>
        <v>0</v>
      </c>
      <c r="J284" s="5">
        <f>SUMIF(Sep!$G$2:$G$1000,'2024 Summary'!A284,Sep!$H$2:$H$1000)</f>
        <v>0</v>
      </c>
      <c r="K284" s="5">
        <f>SUMIF(Oct!$G$2:$G$1000,'2024 Summary'!A284,Oct!$H$2:$H$1000)</f>
        <v>0</v>
      </c>
      <c r="L284" s="5">
        <f>SUMIF(Nov!$G$2:$G$1000,'2024 Summary'!A284,Nov!$H$2:$H$1000)</f>
        <v>0</v>
      </c>
      <c r="M284" s="5">
        <f>SUMIF(Dec!$G$2:$G$1000,'2024 Summary'!A284,Dec!$H$2:$H$1000)</f>
        <v>0</v>
      </c>
      <c r="AA284" s="13">
        <f>Mar!G86</f>
        <v>0</v>
      </c>
    </row>
    <row r="285" spans="2:27" x14ac:dyDescent="0.25">
      <c r="B285" s="5">
        <f>SUMIF(Jan!$G$2:$G$1000,'2024 Summary'!A285,Jan!$H$2:$H$1000)</f>
        <v>0</v>
      </c>
      <c r="C285" s="5">
        <f>SUMIF(Feb!$G$2:$G$1000,'2024 Summary'!A285,Feb!$H$2:$H$1000)</f>
        <v>0</v>
      </c>
      <c r="D285" s="5">
        <f>SUMIF(Mar!$G$2:$G$1000,'2024 Summary'!A285,Mar!$H$2:$H$1000)</f>
        <v>0</v>
      </c>
      <c r="E285" s="5">
        <f>SUMIF(Apr!$G$2:$G$1000,'2024 Summary'!A285,Apr!$H$2:$H$1000)</f>
        <v>0</v>
      </c>
      <c r="F285" s="5">
        <f>SUMIF(May!$G$2:$G$1000,'2024 Summary'!A285,May!$H$2:$H$1000)</f>
        <v>0</v>
      </c>
      <c r="G285" s="5">
        <f>SUMIF(Jun!$G$2:$G$1000,'2024 Summary'!A285,Jun!$H$2:$H$1000)</f>
        <v>0</v>
      </c>
      <c r="H285" s="5">
        <f>SUMIF(Jul!$G$2:$G$1000,'2024 Summary'!A285,Jul!$H$2:$H$1000)</f>
        <v>0</v>
      </c>
      <c r="I285" s="5">
        <f>SUMIF(Aug!$G$2:$G$1000,'2024 Summary'!A285,Aug!$H$2:$H$1000)</f>
        <v>0</v>
      </c>
      <c r="J285" s="5">
        <f>SUMIF(Sep!$G$2:$G$1000,'2024 Summary'!A285,Sep!$H$2:$H$1000)</f>
        <v>0</v>
      </c>
      <c r="K285" s="5">
        <f>SUMIF(Oct!$G$2:$G$1000,'2024 Summary'!A285,Oct!$H$2:$H$1000)</f>
        <v>0</v>
      </c>
      <c r="L285" s="5">
        <f>SUMIF(Nov!$G$2:$G$1000,'2024 Summary'!A285,Nov!$H$2:$H$1000)</f>
        <v>0</v>
      </c>
      <c r="M285" s="5">
        <f>SUMIF(Dec!$G$2:$G$1000,'2024 Summary'!A285,Dec!$H$2:$H$1000)</f>
        <v>0</v>
      </c>
      <c r="AA285" s="13">
        <f>Mar!G87</f>
        <v>0</v>
      </c>
    </row>
    <row r="286" spans="2:27" x14ac:dyDescent="0.25">
      <c r="B286" s="5">
        <f>SUMIF(Jan!$G$2:$G$1000,'2024 Summary'!A286,Jan!$H$2:$H$1000)</f>
        <v>0</v>
      </c>
      <c r="C286" s="5">
        <f>SUMIF(Feb!$G$2:$G$1000,'2024 Summary'!A286,Feb!$H$2:$H$1000)</f>
        <v>0</v>
      </c>
      <c r="D286" s="5">
        <f>SUMIF(Mar!$G$2:$G$1000,'2024 Summary'!A286,Mar!$H$2:$H$1000)</f>
        <v>0</v>
      </c>
      <c r="E286" s="5">
        <f>SUMIF(Apr!$G$2:$G$1000,'2024 Summary'!A286,Apr!$H$2:$H$1000)</f>
        <v>0</v>
      </c>
      <c r="F286" s="5">
        <f>SUMIF(May!$G$2:$G$1000,'2024 Summary'!A286,May!$H$2:$H$1000)</f>
        <v>0</v>
      </c>
      <c r="G286" s="5">
        <f>SUMIF(Jun!$G$2:$G$1000,'2024 Summary'!A286,Jun!$H$2:$H$1000)</f>
        <v>0</v>
      </c>
      <c r="H286" s="5">
        <f>SUMIF(Jul!$G$2:$G$1000,'2024 Summary'!A286,Jul!$H$2:$H$1000)</f>
        <v>0</v>
      </c>
      <c r="I286" s="5">
        <f>SUMIF(Aug!$G$2:$G$1000,'2024 Summary'!A286,Aug!$H$2:$H$1000)</f>
        <v>0</v>
      </c>
      <c r="J286" s="5">
        <f>SUMIF(Sep!$G$2:$G$1000,'2024 Summary'!A286,Sep!$H$2:$H$1000)</f>
        <v>0</v>
      </c>
      <c r="K286" s="5">
        <f>SUMIF(Oct!$G$2:$G$1000,'2024 Summary'!A286,Oct!$H$2:$H$1000)</f>
        <v>0</v>
      </c>
      <c r="L286" s="5">
        <f>SUMIF(Nov!$G$2:$G$1000,'2024 Summary'!A286,Nov!$H$2:$H$1000)</f>
        <v>0</v>
      </c>
      <c r="M286" s="5">
        <f>SUMIF(Dec!$G$2:$G$1000,'2024 Summary'!A286,Dec!$H$2:$H$1000)</f>
        <v>0</v>
      </c>
      <c r="AA286" s="13">
        <f>Mar!G88</f>
        <v>0</v>
      </c>
    </row>
    <row r="287" spans="2:27" x14ac:dyDescent="0.25">
      <c r="B287" s="5">
        <f>SUMIF(Jan!$G$2:$G$1000,'2024 Summary'!A287,Jan!$H$2:$H$1000)</f>
        <v>0</v>
      </c>
      <c r="C287" s="5">
        <f>SUMIF(Feb!$G$2:$G$1000,'2024 Summary'!A287,Feb!$H$2:$H$1000)</f>
        <v>0</v>
      </c>
      <c r="D287" s="5">
        <f>SUMIF(Mar!$G$2:$G$1000,'2024 Summary'!A287,Mar!$H$2:$H$1000)</f>
        <v>0</v>
      </c>
      <c r="E287" s="5">
        <f>SUMIF(Apr!$G$2:$G$1000,'2024 Summary'!A287,Apr!$H$2:$H$1000)</f>
        <v>0</v>
      </c>
      <c r="F287" s="5">
        <f>SUMIF(May!$G$2:$G$1000,'2024 Summary'!A287,May!$H$2:$H$1000)</f>
        <v>0</v>
      </c>
      <c r="G287" s="5">
        <f>SUMIF(Jun!$G$2:$G$1000,'2024 Summary'!A287,Jun!$H$2:$H$1000)</f>
        <v>0</v>
      </c>
      <c r="H287" s="5">
        <f>SUMIF(Jul!$G$2:$G$1000,'2024 Summary'!A287,Jul!$H$2:$H$1000)</f>
        <v>0</v>
      </c>
      <c r="I287" s="5">
        <f>SUMIF(Aug!$G$2:$G$1000,'2024 Summary'!A287,Aug!$H$2:$H$1000)</f>
        <v>0</v>
      </c>
      <c r="J287" s="5">
        <f>SUMIF(Sep!$G$2:$G$1000,'2024 Summary'!A287,Sep!$H$2:$H$1000)</f>
        <v>0</v>
      </c>
      <c r="K287" s="5">
        <f>SUMIF(Oct!$G$2:$G$1000,'2024 Summary'!A287,Oct!$H$2:$H$1000)</f>
        <v>0</v>
      </c>
      <c r="L287" s="5">
        <f>SUMIF(Nov!$G$2:$G$1000,'2024 Summary'!A287,Nov!$H$2:$H$1000)</f>
        <v>0</v>
      </c>
      <c r="M287" s="5">
        <f>SUMIF(Dec!$G$2:$G$1000,'2024 Summary'!A287,Dec!$H$2:$H$1000)</f>
        <v>0</v>
      </c>
      <c r="AA287" s="13">
        <f>Mar!G89</f>
        <v>0</v>
      </c>
    </row>
    <row r="288" spans="2:27" x14ac:dyDescent="0.25">
      <c r="B288" s="5">
        <f>SUMIF(Jan!$G$2:$G$1000,'2024 Summary'!A288,Jan!$H$2:$H$1000)</f>
        <v>0</v>
      </c>
      <c r="C288" s="5">
        <f>SUMIF(Feb!$G$2:$G$1000,'2024 Summary'!A288,Feb!$H$2:$H$1000)</f>
        <v>0</v>
      </c>
      <c r="D288" s="5">
        <f>SUMIF(Mar!$G$2:$G$1000,'2024 Summary'!A288,Mar!$H$2:$H$1000)</f>
        <v>0</v>
      </c>
      <c r="E288" s="5">
        <f>SUMIF(Apr!$G$2:$G$1000,'2024 Summary'!A288,Apr!$H$2:$H$1000)</f>
        <v>0</v>
      </c>
      <c r="F288" s="5">
        <f>SUMIF(May!$G$2:$G$1000,'2024 Summary'!A288,May!$H$2:$H$1000)</f>
        <v>0</v>
      </c>
      <c r="G288" s="5">
        <f>SUMIF(Jun!$G$2:$G$1000,'2024 Summary'!A288,Jun!$H$2:$H$1000)</f>
        <v>0</v>
      </c>
      <c r="H288" s="5">
        <f>SUMIF(Jul!$G$2:$G$1000,'2024 Summary'!A288,Jul!$H$2:$H$1000)</f>
        <v>0</v>
      </c>
      <c r="I288" s="5">
        <f>SUMIF(Aug!$G$2:$G$1000,'2024 Summary'!A288,Aug!$H$2:$H$1000)</f>
        <v>0</v>
      </c>
      <c r="J288" s="5">
        <f>SUMIF(Sep!$G$2:$G$1000,'2024 Summary'!A288,Sep!$H$2:$H$1000)</f>
        <v>0</v>
      </c>
      <c r="K288" s="5">
        <f>SUMIF(Oct!$G$2:$G$1000,'2024 Summary'!A288,Oct!$H$2:$H$1000)</f>
        <v>0</v>
      </c>
      <c r="L288" s="5">
        <f>SUMIF(Nov!$G$2:$G$1000,'2024 Summary'!A288,Nov!$H$2:$H$1000)</f>
        <v>0</v>
      </c>
      <c r="M288" s="5">
        <f>SUMIF(Dec!$G$2:$G$1000,'2024 Summary'!A288,Dec!$H$2:$H$1000)</f>
        <v>0</v>
      </c>
      <c r="AA288" s="13">
        <f>Mar!G90</f>
        <v>0</v>
      </c>
    </row>
    <row r="289" spans="2:27" x14ac:dyDescent="0.25">
      <c r="B289" s="5">
        <f>SUMIF(Jan!$G$2:$G$1000,'2024 Summary'!A289,Jan!$H$2:$H$1000)</f>
        <v>0</v>
      </c>
      <c r="C289" s="5">
        <f>SUMIF(Feb!$G$2:$G$1000,'2024 Summary'!A289,Feb!$H$2:$H$1000)</f>
        <v>0</v>
      </c>
      <c r="D289" s="5">
        <f>SUMIF(Mar!$G$2:$G$1000,'2024 Summary'!A289,Mar!$H$2:$H$1000)</f>
        <v>0</v>
      </c>
      <c r="E289" s="5">
        <f>SUMIF(Apr!$G$2:$G$1000,'2024 Summary'!A289,Apr!$H$2:$H$1000)</f>
        <v>0</v>
      </c>
      <c r="F289" s="5">
        <f>SUMIF(May!$G$2:$G$1000,'2024 Summary'!A289,May!$H$2:$H$1000)</f>
        <v>0</v>
      </c>
      <c r="G289" s="5">
        <f>SUMIF(Jun!$G$2:$G$1000,'2024 Summary'!A289,Jun!$H$2:$H$1000)</f>
        <v>0</v>
      </c>
      <c r="H289" s="5">
        <f>SUMIF(Jul!$G$2:$G$1000,'2024 Summary'!A289,Jul!$H$2:$H$1000)</f>
        <v>0</v>
      </c>
      <c r="I289" s="5">
        <f>SUMIF(Aug!$G$2:$G$1000,'2024 Summary'!A289,Aug!$H$2:$H$1000)</f>
        <v>0</v>
      </c>
      <c r="J289" s="5">
        <f>SUMIF(Sep!$G$2:$G$1000,'2024 Summary'!A289,Sep!$H$2:$H$1000)</f>
        <v>0</v>
      </c>
      <c r="K289" s="5">
        <f>SUMIF(Oct!$G$2:$G$1000,'2024 Summary'!A289,Oct!$H$2:$H$1000)</f>
        <v>0</v>
      </c>
      <c r="L289" s="5">
        <f>SUMIF(Nov!$G$2:$G$1000,'2024 Summary'!A289,Nov!$H$2:$H$1000)</f>
        <v>0</v>
      </c>
      <c r="M289" s="5">
        <f>SUMIF(Dec!$G$2:$G$1000,'2024 Summary'!A289,Dec!$H$2:$H$1000)</f>
        <v>0</v>
      </c>
      <c r="AA289" s="13">
        <f>Mar!G91</f>
        <v>0</v>
      </c>
    </row>
    <row r="290" spans="2:27" x14ac:dyDescent="0.25">
      <c r="B290" s="5">
        <f>SUMIF(Jan!$G$2:$G$1000,'2024 Summary'!A290,Jan!$H$2:$H$1000)</f>
        <v>0</v>
      </c>
      <c r="C290" s="5">
        <f>SUMIF(Feb!$G$2:$G$1000,'2024 Summary'!A290,Feb!$H$2:$H$1000)</f>
        <v>0</v>
      </c>
      <c r="D290" s="5">
        <f>SUMIF(Mar!$G$2:$G$1000,'2024 Summary'!A290,Mar!$H$2:$H$1000)</f>
        <v>0</v>
      </c>
      <c r="E290" s="5">
        <f>SUMIF(Apr!$G$2:$G$1000,'2024 Summary'!A290,Apr!$H$2:$H$1000)</f>
        <v>0</v>
      </c>
      <c r="F290" s="5">
        <f>SUMIF(May!$G$2:$G$1000,'2024 Summary'!A290,May!$H$2:$H$1000)</f>
        <v>0</v>
      </c>
      <c r="G290" s="5">
        <f>SUMIF(Jun!$G$2:$G$1000,'2024 Summary'!A290,Jun!$H$2:$H$1000)</f>
        <v>0</v>
      </c>
      <c r="H290" s="5">
        <f>SUMIF(Jul!$G$2:$G$1000,'2024 Summary'!A290,Jul!$H$2:$H$1000)</f>
        <v>0</v>
      </c>
      <c r="I290" s="5">
        <f>SUMIF(Aug!$G$2:$G$1000,'2024 Summary'!A290,Aug!$H$2:$H$1000)</f>
        <v>0</v>
      </c>
      <c r="J290" s="5">
        <f>SUMIF(Sep!$G$2:$G$1000,'2024 Summary'!A290,Sep!$H$2:$H$1000)</f>
        <v>0</v>
      </c>
      <c r="K290" s="5">
        <f>SUMIF(Oct!$G$2:$G$1000,'2024 Summary'!A290,Oct!$H$2:$H$1000)</f>
        <v>0</v>
      </c>
      <c r="L290" s="5">
        <f>SUMIF(Nov!$G$2:$G$1000,'2024 Summary'!A290,Nov!$H$2:$H$1000)</f>
        <v>0</v>
      </c>
      <c r="M290" s="5">
        <f>SUMIF(Dec!$G$2:$G$1000,'2024 Summary'!A290,Dec!$H$2:$H$1000)</f>
        <v>0</v>
      </c>
      <c r="AA290" s="13">
        <f>Mar!G92</f>
        <v>0</v>
      </c>
    </row>
    <row r="291" spans="2:27" x14ac:dyDescent="0.25">
      <c r="B291" s="5">
        <f>SUMIF(Jan!$G$2:$G$1000,'2024 Summary'!A291,Jan!$H$2:$H$1000)</f>
        <v>0</v>
      </c>
      <c r="C291" s="5">
        <f>SUMIF(Feb!$G$2:$G$1000,'2024 Summary'!A291,Feb!$H$2:$H$1000)</f>
        <v>0</v>
      </c>
      <c r="D291" s="5">
        <f>SUMIF(Mar!$G$2:$G$1000,'2024 Summary'!A291,Mar!$H$2:$H$1000)</f>
        <v>0</v>
      </c>
      <c r="E291" s="5">
        <f>SUMIF(Apr!$G$2:$G$1000,'2024 Summary'!A291,Apr!$H$2:$H$1000)</f>
        <v>0</v>
      </c>
      <c r="F291" s="5">
        <f>SUMIF(May!$G$2:$G$1000,'2024 Summary'!A291,May!$H$2:$H$1000)</f>
        <v>0</v>
      </c>
      <c r="G291" s="5">
        <f>SUMIF(Jun!$G$2:$G$1000,'2024 Summary'!A291,Jun!$H$2:$H$1000)</f>
        <v>0</v>
      </c>
      <c r="H291" s="5">
        <f>SUMIF(Jul!$G$2:$G$1000,'2024 Summary'!A291,Jul!$H$2:$H$1000)</f>
        <v>0</v>
      </c>
      <c r="I291" s="5">
        <f>SUMIF(Aug!$G$2:$G$1000,'2024 Summary'!A291,Aug!$H$2:$H$1000)</f>
        <v>0</v>
      </c>
      <c r="J291" s="5">
        <f>SUMIF(Sep!$G$2:$G$1000,'2024 Summary'!A291,Sep!$H$2:$H$1000)</f>
        <v>0</v>
      </c>
      <c r="K291" s="5">
        <f>SUMIF(Oct!$G$2:$G$1000,'2024 Summary'!A291,Oct!$H$2:$H$1000)</f>
        <v>0</v>
      </c>
      <c r="L291" s="5">
        <f>SUMIF(Nov!$G$2:$G$1000,'2024 Summary'!A291,Nov!$H$2:$H$1000)</f>
        <v>0</v>
      </c>
      <c r="M291" s="5">
        <f>SUMIF(Dec!$G$2:$G$1000,'2024 Summary'!A291,Dec!$H$2:$H$1000)</f>
        <v>0</v>
      </c>
      <c r="AA291" s="13">
        <f>Mar!G93</f>
        <v>0</v>
      </c>
    </row>
    <row r="292" spans="2:27" x14ac:dyDescent="0.25">
      <c r="B292" s="5">
        <f>SUMIF(Jan!$G$2:$G$1000,'2024 Summary'!A292,Jan!$H$2:$H$1000)</f>
        <v>0</v>
      </c>
      <c r="C292" s="5">
        <f>SUMIF(Feb!$G$2:$G$1000,'2024 Summary'!A292,Feb!$H$2:$H$1000)</f>
        <v>0</v>
      </c>
      <c r="D292" s="5">
        <f>SUMIF(Mar!$G$2:$G$1000,'2024 Summary'!A292,Mar!$H$2:$H$1000)</f>
        <v>0</v>
      </c>
      <c r="E292" s="5">
        <f>SUMIF(Apr!$G$2:$G$1000,'2024 Summary'!A292,Apr!$H$2:$H$1000)</f>
        <v>0</v>
      </c>
      <c r="F292" s="5">
        <f>SUMIF(May!$G$2:$G$1000,'2024 Summary'!A292,May!$H$2:$H$1000)</f>
        <v>0</v>
      </c>
      <c r="G292" s="5">
        <f>SUMIF(Jun!$G$2:$G$1000,'2024 Summary'!A292,Jun!$H$2:$H$1000)</f>
        <v>0</v>
      </c>
      <c r="H292" s="5">
        <f>SUMIF(Jul!$G$2:$G$1000,'2024 Summary'!A292,Jul!$H$2:$H$1000)</f>
        <v>0</v>
      </c>
      <c r="I292" s="5">
        <f>SUMIF(Aug!$G$2:$G$1000,'2024 Summary'!A292,Aug!$H$2:$H$1000)</f>
        <v>0</v>
      </c>
      <c r="J292" s="5">
        <f>SUMIF(Sep!$G$2:$G$1000,'2024 Summary'!A292,Sep!$H$2:$H$1000)</f>
        <v>0</v>
      </c>
      <c r="K292" s="5">
        <f>SUMIF(Oct!$G$2:$G$1000,'2024 Summary'!A292,Oct!$H$2:$H$1000)</f>
        <v>0</v>
      </c>
      <c r="L292" s="5">
        <f>SUMIF(Nov!$G$2:$G$1000,'2024 Summary'!A292,Nov!$H$2:$H$1000)</f>
        <v>0</v>
      </c>
      <c r="M292" s="5">
        <f>SUMIF(Dec!$G$2:$G$1000,'2024 Summary'!A292,Dec!$H$2:$H$1000)</f>
        <v>0</v>
      </c>
      <c r="AA292" s="13">
        <f>Mar!G94</f>
        <v>0</v>
      </c>
    </row>
    <row r="293" spans="2:27" x14ac:dyDescent="0.25">
      <c r="B293" s="5">
        <f>SUMIF(Jan!$G$2:$G$1000,'2024 Summary'!A293,Jan!$H$2:$H$1000)</f>
        <v>0</v>
      </c>
      <c r="C293" s="5">
        <f>SUMIF(Feb!$G$2:$G$1000,'2024 Summary'!A293,Feb!$H$2:$H$1000)</f>
        <v>0</v>
      </c>
      <c r="D293" s="5">
        <f>SUMIF(Mar!$G$2:$G$1000,'2024 Summary'!A293,Mar!$H$2:$H$1000)</f>
        <v>0</v>
      </c>
      <c r="E293" s="5">
        <f>SUMIF(Apr!$G$2:$G$1000,'2024 Summary'!A293,Apr!$H$2:$H$1000)</f>
        <v>0</v>
      </c>
      <c r="F293" s="5">
        <f>SUMIF(May!$G$2:$G$1000,'2024 Summary'!A293,May!$H$2:$H$1000)</f>
        <v>0</v>
      </c>
      <c r="G293" s="5">
        <f>SUMIF(Jun!$G$2:$G$1000,'2024 Summary'!A293,Jun!$H$2:$H$1000)</f>
        <v>0</v>
      </c>
      <c r="H293" s="5">
        <f>SUMIF(Jul!$G$2:$G$1000,'2024 Summary'!A293,Jul!$H$2:$H$1000)</f>
        <v>0</v>
      </c>
      <c r="I293" s="5">
        <f>SUMIF(Aug!$G$2:$G$1000,'2024 Summary'!A293,Aug!$H$2:$H$1000)</f>
        <v>0</v>
      </c>
      <c r="J293" s="5">
        <f>SUMIF(Sep!$G$2:$G$1000,'2024 Summary'!A293,Sep!$H$2:$H$1000)</f>
        <v>0</v>
      </c>
      <c r="K293" s="5">
        <f>SUMIF(Oct!$G$2:$G$1000,'2024 Summary'!A293,Oct!$H$2:$H$1000)</f>
        <v>0</v>
      </c>
      <c r="L293" s="5">
        <f>SUMIF(Nov!$G$2:$G$1000,'2024 Summary'!A293,Nov!$H$2:$H$1000)</f>
        <v>0</v>
      </c>
      <c r="M293" s="5">
        <f>SUMIF(Dec!$G$2:$G$1000,'2024 Summary'!A293,Dec!$H$2:$H$1000)</f>
        <v>0</v>
      </c>
      <c r="AA293" s="13">
        <f>Mar!G95</f>
        <v>0</v>
      </c>
    </row>
    <row r="294" spans="2:27" x14ac:dyDescent="0.25">
      <c r="B294" s="5">
        <f>SUMIF(Jan!$G$2:$G$1000,'2024 Summary'!A294,Jan!$H$2:$H$1000)</f>
        <v>0</v>
      </c>
      <c r="C294" s="5">
        <f>SUMIF(Feb!$G$2:$G$1000,'2024 Summary'!A294,Feb!$H$2:$H$1000)</f>
        <v>0</v>
      </c>
      <c r="D294" s="5">
        <f>SUMIF(Mar!$G$2:$G$1000,'2024 Summary'!A294,Mar!$H$2:$H$1000)</f>
        <v>0</v>
      </c>
      <c r="E294" s="5">
        <f>SUMIF(Apr!$G$2:$G$1000,'2024 Summary'!A294,Apr!$H$2:$H$1000)</f>
        <v>0</v>
      </c>
      <c r="F294" s="5">
        <f>SUMIF(May!$G$2:$G$1000,'2024 Summary'!A294,May!$H$2:$H$1000)</f>
        <v>0</v>
      </c>
      <c r="G294" s="5">
        <f>SUMIF(Jun!$G$2:$G$1000,'2024 Summary'!A294,Jun!$H$2:$H$1000)</f>
        <v>0</v>
      </c>
      <c r="H294" s="5">
        <f>SUMIF(Jul!$G$2:$G$1000,'2024 Summary'!A294,Jul!$H$2:$H$1000)</f>
        <v>0</v>
      </c>
      <c r="I294" s="5">
        <f>SUMIF(Aug!$G$2:$G$1000,'2024 Summary'!A294,Aug!$H$2:$H$1000)</f>
        <v>0</v>
      </c>
      <c r="J294" s="5">
        <f>SUMIF(Sep!$G$2:$G$1000,'2024 Summary'!A294,Sep!$H$2:$H$1000)</f>
        <v>0</v>
      </c>
      <c r="K294" s="5">
        <f>SUMIF(Oct!$G$2:$G$1000,'2024 Summary'!A294,Oct!$H$2:$H$1000)</f>
        <v>0</v>
      </c>
      <c r="L294" s="5">
        <f>SUMIF(Nov!$G$2:$G$1000,'2024 Summary'!A294,Nov!$H$2:$H$1000)</f>
        <v>0</v>
      </c>
      <c r="M294" s="5">
        <f>SUMIF(Dec!$G$2:$G$1000,'2024 Summary'!A294,Dec!$H$2:$H$1000)</f>
        <v>0</v>
      </c>
      <c r="AA294" s="13">
        <f>Mar!G96</f>
        <v>0</v>
      </c>
    </row>
    <row r="295" spans="2:27" x14ac:dyDescent="0.25">
      <c r="B295" s="5">
        <f>SUMIF(Jan!$G$2:$G$1000,'2024 Summary'!A295,Jan!$H$2:$H$1000)</f>
        <v>0</v>
      </c>
      <c r="C295" s="5">
        <f>SUMIF(Feb!$G$2:$G$1000,'2024 Summary'!A295,Feb!$H$2:$H$1000)</f>
        <v>0</v>
      </c>
      <c r="D295" s="5">
        <f>SUMIF(Mar!$G$2:$G$1000,'2024 Summary'!A295,Mar!$H$2:$H$1000)</f>
        <v>0</v>
      </c>
      <c r="E295" s="5">
        <f>SUMIF(Apr!$G$2:$G$1000,'2024 Summary'!A295,Apr!$H$2:$H$1000)</f>
        <v>0</v>
      </c>
      <c r="F295" s="5">
        <f>SUMIF(May!$G$2:$G$1000,'2024 Summary'!A295,May!$H$2:$H$1000)</f>
        <v>0</v>
      </c>
      <c r="G295" s="5">
        <f>SUMIF(Jun!$G$2:$G$1000,'2024 Summary'!A295,Jun!$H$2:$H$1000)</f>
        <v>0</v>
      </c>
      <c r="H295" s="5">
        <f>SUMIF(Jul!$G$2:$G$1000,'2024 Summary'!A295,Jul!$H$2:$H$1000)</f>
        <v>0</v>
      </c>
      <c r="I295" s="5">
        <f>SUMIF(Aug!$G$2:$G$1000,'2024 Summary'!A295,Aug!$H$2:$H$1000)</f>
        <v>0</v>
      </c>
      <c r="J295" s="5">
        <f>SUMIF(Sep!$G$2:$G$1000,'2024 Summary'!A295,Sep!$H$2:$H$1000)</f>
        <v>0</v>
      </c>
      <c r="K295" s="5">
        <f>SUMIF(Oct!$G$2:$G$1000,'2024 Summary'!A295,Oct!$H$2:$H$1000)</f>
        <v>0</v>
      </c>
      <c r="L295" s="5">
        <f>SUMIF(Nov!$G$2:$G$1000,'2024 Summary'!A295,Nov!$H$2:$H$1000)</f>
        <v>0</v>
      </c>
      <c r="M295" s="5">
        <f>SUMIF(Dec!$G$2:$G$1000,'2024 Summary'!A295,Dec!$H$2:$H$1000)</f>
        <v>0</v>
      </c>
      <c r="AA295" s="13">
        <f>Mar!G97</f>
        <v>0</v>
      </c>
    </row>
    <row r="296" spans="2:27" x14ac:dyDescent="0.25">
      <c r="B296" s="5">
        <f>SUMIF(Jan!$G$2:$G$1000,'2024 Summary'!A296,Jan!$H$2:$H$1000)</f>
        <v>0</v>
      </c>
      <c r="C296" s="5">
        <f>SUMIF(Feb!$G$2:$G$1000,'2024 Summary'!A296,Feb!$H$2:$H$1000)</f>
        <v>0</v>
      </c>
      <c r="D296" s="5">
        <f>SUMIF(Mar!$G$2:$G$1000,'2024 Summary'!A296,Mar!$H$2:$H$1000)</f>
        <v>0</v>
      </c>
      <c r="E296" s="5">
        <f>SUMIF(Apr!$G$2:$G$1000,'2024 Summary'!A296,Apr!$H$2:$H$1000)</f>
        <v>0</v>
      </c>
      <c r="F296" s="5">
        <f>SUMIF(May!$G$2:$G$1000,'2024 Summary'!A296,May!$H$2:$H$1000)</f>
        <v>0</v>
      </c>
      <c r="G296" s="5">
        <f>SUMIF(Jun!$G$2:$G$1000,'2024 Summary'!A296,Jun!$H$2:$H$1000)</f>
        <v>0</v>
      </c>
      <c r="H296" s="5">
        <f>SUMIF(Jul!$G$2:$G$1000,'2024 Summary'!A296,Jul!$H$2:$H$1000)</f>
        <v>0</v>
      </c>
      <c r="I296" s="5">
        <f>SUMIF(Aug!$G$2:$G$1000,'2024 Summary'!A296,Aug!$H$2:$H$1000)</f>
        <v>0</v>
      </c>
      <c r="J296" s="5">
        <f>SUMIF(Sep!$G$2:$G$1000,'2024 Summary'!A296,Sep!$H$2:$H$1000)</f>
        <v>0</v>
      </c>
      <c r="K296" s="5">
        <f>SUMIF(Oct!$G$2:$G$1000,'2024 Summary'!A296,Oct!$H$2:$H$1000)</f>
        <v>0</v>
      </c>
      <c r="L296" s="5">
        <f>SUMIF(Nov!$G$2:$G$1000,'2024 Summary'!A296,Nov!$H$2:$H$1000)</f>
        <v>0</v>
      </c>
      <c r="M296" s="5">
        <f>SUMIF(Dec!$G$2:$G$1000,'2024 Summary'!A296,Dec!$H$2:$H$1000)</f>
        <v>0</v>
      </c>
      <c r="AA296" s="13">
        <f>Mar!G98</f>
        <v>0</v>
      </c>
    </row>
    <row r="297" spans="2:27" x14ac:dyDescent="0.25">
      <c r="B297" s="5">
        <f>SUMIF(Jan!$G$2:$G$1000,'2024 Summary'!A297,Jan!$H$2:$H$1000)</f>
        <v>0</v>
      </c>
      <c r="C297" s="5">
        <f>SUMIF(Feb!$G$2:$G$1000,'2024 Summary'!A297,Feb!$H$2:$H$1000)</f>
        <v>0</v>
      </c>
      <c r="D297" s="5">
        <f>SUMIF(Mar!$G$2:$G$1000,'2024 Summary'!A297,Mar!$H$2:$H$1000)</f>
        <v>0</v>
      </c>
      <c r="E297" s="5">
        <f>SUMIF(Apr!$G$2:$G$1000,'2024 Summary'!A297,Apr!$H$2:$H$1000)</f>
        <v>0</v>
      </c>
      <c r="F297" s="5">
        <f>SUMIF(May!$G$2:$G$1000,'2024 Summary'!A297,May!$H$2:$H$1000)</f>
        <v>0</v>
      </c>
      <c r="G297" s="5">
        <f>SUMIF(Jun!$G$2:$G$1000,'2024 Summary'!A297,Jun!$H$2:$H$1000)</f>
        <v>0</v>
      </c>
      <c r="H297" s="5">
        <f>SUMIF(Jul!$G$2:$G$1000,'2024 Summary'!A297,Jul!$H$2:$H$1000)</f>
        <v>0</v>
      </c>
      <c r="I297" s="5">
        <f>SUMIF(Aug!$G$2:$G$1000,'2024 Summary'!A297,Aug!$H$2:$H$1000)</f>
        <v>0</v>
      </c>
      <c r="J297" s="5">
        <f>SUMIF(Sep!$G$2:$G$1000,'2024 Summary'!A297,Sep!$H$2:$H$1000)</f>
        <v>0</v>
      </c>
      <c r="K297" s="5">
        <f>SUMIF(Oct!$G$2:$G$1000,'2024 Summary'!A297,Oct!$H$2:$H$1000)</f>
        <v>0</v>
      </c>
      <c r="L297" s="5">
        <f>SUMIF(Nov!$G$2:$G$1000,'2024 Summary'!A297,Nov!$H$2:$H$1000)</f>
        <v>0</v>
      </c>
      <c r="M297" s="5">
        <f>SUMIF(Dec!$G$2:$G$1000,'2024 Summary'!A297,Dec!$H$2:$H$1000)</f>
        <v>0</v>
      </c>
      <c r="AA297" s="13">
        <f>Mar!G99</f>
        <v>0</v>
      </c>
    </row>
    <row r="298" spans="2:27" x14ac:dyDescent="0.25">
      <c r="B298" s="5">
        <f>SUMIF(Jan!$G$2:$G$1000,'2024 Summary'!A298,Jan!$H$2:$H$1000)</f>
        <v>0</v>
      </c>
      <c r="C298" s="5">
        <f>SUMIF(Feb!$G$2:$G$1000,'2024 Summary'!A298,Feb!$H$2:$H$1000)</f>
        <v>0</v>
      </c>
      <c r="D298" s="5">
        <f>SUMIF(Mar!$G$2:$G$1000,'2024 Summary'!A298,Mar!$H$2:$H$1000)</f>
        <v>0</v>
      </c>
      <c r="E298" s="5">
        <f>SUMIF(Apr!$G$2:$G$1000,'2024 Summary'!A298,Apr!$H$2:$H$1000)</f>
        <v>0</v>
      </c>
      <c r="F298" s="5">
        <f>SUMIF(May!$G$2:$G$1000,'2024 Summary'!A298,May!$H$2:$H$1000)</f>
        <v>0</v>
      </c>
      <c r="G298" s="5">
        <f>SUMIF(Jun!$G$2:$G$1000,'2024 Summary'!A298,Jun!$H$2:$H$1000)</f>
        <v>0</v>
      </c>
      <c r="H298" s="5">
        <f>SUMIF(Jul!$G$2:$G$1000,'2024 Summary'!A298,Jul!$H$2:$H$1000)</f>
        <v>0</v>
      </c>
      <c r="I298" s="5">
        <f>SUMIF(Aug!$G$2:$G$1000,'2024 Summary'!A298,Aug!$H$2:$H$1000)</f>
        <v>0</v>
      </c>
      <c r="J298" s="5">
        <f>SUMIF(Sep!$G$2:$G$1000,'2024 Summary'!A298,Sep!$H$2:$H$1000)</f>
        <v>0</v>
      </c>
      <c r="K298" s="5">
        <f>SUMIF(Oct!$G$2:$G$1000,'2024 Summary'!A298,Oct!$H$2:$H$1000)</f>
        <v>0</v>
      </c>
      <c r="L298" s="5">
        <f>SUMIF(Nov!$G$2:$G$1000,'2024 Summary'!A298,Nov!$H$2:$H$1000)</f>
        <v>0</v>
      </c>
      <c r="M298" s="5">
        <f>SUMIF(Dec!$G$2:$G$1000,'2024 Summary'!A298,Dec!$H$2:$H$1000)</f>
        <v>0</v>
      </c>
      <c r="AA298" s="13">
        <f>Mar!G100</f>
        <v>0</v>
      </c>
    </row>
    <row r="299" spans="2:27" x14ac:dyDescent="0.25">
      <c r="B299" s="5">
        <f>SUMIF(Jan!$G$2:$G$1000,'2024 Summary'!A299,Jan!$H$2:$H$1000)</f>
        <v>0</v>
      </c>
      <c r="C299" s="5">
        <f>SUMIF(Feb!$G$2:$G$1000,'2024 Summary'!A299,Feb!$H$2:$H$1000)</f>
        <v>0</v>
      </c>
      <c r="D299" s="5">
        <f>SUMIF(Mar!$G$2:$G$1000,'2024 Summary'!A299,Mar!$H$2:$H$1000)</f>
        <v>0</v>
      </c>
      <c r="E299" s="5">
        <f>SUMIF(Apr!$G$2:$G$1000,'2024 Summary'!A299,Apr!$H$2:$H$1000)</f>
        <v>0</v>
      </c>
      <c r="F299" s="5">
        <f>SUMIF(May!$G$2:$G$1000,'2024 Summary'!A299,May!$H$2:$H$1000)</f>
        <v>0</v>
      </c>
      <c r="G299" s="5">
        <f>SUMIF(Jun!$G$2:$G$1000,'2024 Summary'!A299,Jun!$H$2:$H$1000)</f>
        <v>0</v>
      </c>
      <c r="H299" s="5">
        <f>SUMIF(Jul!$G$2:$G$1000,'2024 Summary'!A299,Jul!$H$2:$H$1000)</f>
        <v>0</v>
      </c>
      <c r="I299" s="5">
        <f>SUMIF(Aug!$G$2:$G$1000,'2024 Summary'!A299,Aug!$H$2:$H$1000)</f>
        <v>0</v>
      </c>
      <c r="J299" s="5">
        <f>SUMIF(Sep!$G$2:$G$1000,'2024 Summary'!A299,Sep!$H$2:$H$1000)</f>
        <v>0</v>
      </c>
      <c r="K299" s="5">
        <f>SUMIF(Oct!$G$2:$G$1000,'2024 Summary'!A299,Oct!$H$2:$H$1000)</f>
        <v>0</v>
      </c>
      <c r="L299" s="5">
        <f>SUMIF(Nov!$G$2:$G$1000,'2024 Summary'!A299,Nov!$H$2:$H$1000)</f>
        <v>0</v>
      </c>
      <c r="M299" s="5">
        <f>SUMIF(Dec!$G$2:$G$1000,'2024 Summary'!A299,Dec!$H$2:$H$1000)</f>
        <v>0</v>
      </c>
    </row>
    <row r="300" spans="2:27" x14ac:dyDescent="0.25">
      <c r="B300" s="5">
        <f>SUMIF(Jan!$G$2:$G$1000,'2024 Summary'!A300,Jan!$H$2:$H$1000)</f>
        <v>0</v>
      </c>
      <c r="C300" s="5">
        <f>SUMIF(Feb!$G$2:$G$1000,'2024 Summary'!A300,Feb!$H$2:$H$1000)</f>
        <v>0</v>
      </c>
      <c r="D300" s="5">
        <f>SUMIF(Mar!$G$2:$G$1000,'2024 Summary'!A300,Mar!$H$2:$H$1000)</f>
        <v>0</v>
      </c>
      <c r="E300" s="5">
        <f>SUMIF(Apr!$G$2:$G$1000,'2024 Summary'!A300,Apr!$H$2:$H$1000)</f>
        <v>0</v>
      </c>
      <c r="F300" s="5">
        <f>SUMIF(May!$G$2:$G$1000,'2024 Summary'!A300,May!$H$2:$H$1000)</f>
        <v>0</v>
      </c>
      <c r="G300" s="5">
        <f>SUMIF(Jun!$G$2:$G$1000,'2024 Summary'!A300,Jun!$H$2:$H$1000)</f>
        <v>0</v>
      </c>
      <c r="H300" s="5">
        <f>SUMIF(Jul!$G$2:$G$1000,'2024 Summary'!A300,Jul!$H$2:$H$1000)</f>
        <v>0</v>
      </c>
      <c r="I300" s="5">
        <f>SUMIF(Aug!$G$2:$G$1000,'2024 Summary'!A300,Aug!$H$2:$H$1000)</f>
        <v>0</v>
      </c>
      <c r="J300" s="5">
        <f>SUMIF(Sep!$G$2:$G$1000,'2024 Summary'!A300,Sep!$H$2:$H$1000)</f>
        <v>0</v>
      </c>
      <c r="K300" s="5">
        <f>SUMIF(Oct!$G$2:$G$1000,'2024 Summary'!A300,Oct!$H$2:$H$1000)</f>
        <v>0</v>
      </c>
      <c r="L300" s="5">
        <f>SUMIF(Nov!$G$2:$G$1000,'2024 Summary'!A300,Nov!$H$2:$H$1000)</f>
        <v>0</v>
      </c>
      <c r="M300" s="5">
        <f>SUMIF(Dec!$G$2:$G$1000,'2024 Summary'!A300,Dec!$H$2:$H$1000)</f>
        <v>0</v>
      </c>
      <c r="AA300" s="13">
        <f>Apr!G2</f>
        <v>0</v>
      </c>
    </row>
    <row r="301" spans="2:27" x14ac:dyDescent="0.25">
      <c r="AA301" s="13">
        <f>Apr!G3</f>
        <v>0</v>
      </c>
    </row>
    <row r="302" spans="2:27" x14ac:dyDescent="0.25">
      <c r="AA302" s="13">
        <f>Apr!G4</f>
        <v>0</v>
      </c>
    </row>
    <row r="303" spans="2:27" x14ac:dyDescent="0.25">
      <c r="AA303" s="13">
        <f>Apr!G5</f>
        <v>0</v>
      </c>
    </row>
    <row r="304" spans="2:27" x14ac:dyDescent="0.25">
      <c r="AA304" s="13">
        <f>Apr!G6</f>
        <v>0</v>
      </c>
    </row>
    <row r="305" spans="27:27" x14ac:dyDescent="0.25">
      <c r="AA305" s="13">
        <f>Apr!G7</f>
        <v>0</v>
      </c>
    </row>
    <row r="306" spans="27:27" x14ac:dyDescent="0.25">
      <c r="AA306" s="13">
        <f>Apr!G8</f>
        <v>0</v>
      </c>
    </row>
    <row r="307" spans="27:27" x14ac:dyDescent="0.25">
      <c r="AA307" s="13">
        <f>Apr!G9</f>
        <v>0</v>
      </c>
    </row>
    <row r="308" spans="27:27" x14ac:dyDescent="0.25">
      <c r="AA308" s="13">
        <f>Apr!G10</f>
        <v>0</v>
      </c>
    </row>
    <row r="309" spans="27:27" x14ac:dyDescent="0.25">
      <c r="AA309" s="13">
        <f>Apr!G11</f>
        <v>0</v>
      </c>
    </row>
    <row r="310" spans="27:27" x14ac:dyDescent="0.25">
      <c r="AA310" s="13">
        <f>Apr!G12</f>
        <v>0</v>
      </c>
    </row>
    <row r="311" spans="27:27" x14ac:dyDescent="0.25">
      <c r="AA311" s="13">
        <f>Apr!G13</f>
        <v>0</v>
      </c>
    </row>
    <row r="312" spans="27:27" x14ac:dyDescent="0.25">
      <c r="AA312" s="13">
        <f>Apr!G14</f>
        <v>0</v>
      </c>
    </row>
    <row r="313" spans="27:27" x14ac:dyDescent="0.25">
      <c r="AA313" s="13">
        <f>Apr!G15</f>
        <v>0</v>
      </c>
    </row>
    <row r="314" spans="27:27" x14ac:dyDescent="0.25">
      <c r="AA314" s="13">
        <f>Apr!G16</f>
        <v>0</v>
      </c>
    </row>
    <row r="315" spans="27:27" x14ac:dyDescent="0.25">
      <c r="AA315" s="13">
        <f>Apr!G17</f>
        <v>0</v>
      </c>
    </row>
    <row r="316" spans="27:27" x14ac:dyDescent="0.25">
      <c r="AA316" s="13">
        <f>Apr!G18</f>
        <v>0</v>
      </c>
    </row>
    <row r="317" spans="27:27" x14ac:dyDescent="0.25">
      <c r="AA317" s="13">
        <f>Apr!G19</f>
        <v>0</v>
      </c>
    </row>
    <row r="318" spans="27:27" x14ac:dyDescent="0.25">
      <c r="AA318" s="13">
        <f>Apr!G20</f>
        <v>0</v>
      </c>
    </row>
    <row r="319" spans="27:27" x14ac:dyDescent="0.25">
      <c r="AA319" s="13">
        <f>Apr!G21</f>
        <v>0</v>
      </c>
    </row>
    <row r="320" spans="27:27" x14ac:dyDescent="0.25">
      <c r="AA320" s="13">
        <f>Apr!G22</f>
        <v>0</v>
      </c>
    </row>
    <row r="321" spans="27:27" x14ac:dyDescent="0.25">
      <c r="AA321" s="13">
        <f>Apr!G23</f>
        <v>0</v>
      </c>
    </row>
    <row r="322" spans="27:27" x14ac:dyDescent="0.25">
      <c r="AA322" s="13">
        <f>Apr!G24</f>
        <v>0</v>
      </c>
    </row>
    <row r="323" spans="27:27" x14ac:dyDescent="0.25">
      <c r="AA323" s="13">
        <f>Apr!G25</f>
        <v>0</v>
      </c>
    </row>
    <row r="324" spans="27:27" x14ac:dyDescent="0.25">
      <c r="AA324" s="13">
        <f>Apr!G26</f>
        <v>0</v>
      </c>
    </row>
    <row r="325" spans="27:27" x14ac:dyDescent="0.25">
      <c r="AA325" s="13">
        <f>Apr!G27</f>
        <v>0</v>
      </c>
    </row>
    <row r="326" spans="27:27" x14ac:dyDescent="0.25">
      <c r="AA326" s="13">
        <f>Apr!G28</f>
        <v>0</v>
      </c>
    </row>
    <row r="327" spans="27:27" x14ac:dyDescent="0.25">
      <c r="AA327" s="13">
        <f>Apr!G29</f>
        <v>0</v>
      </c>
    </row>
    <row r="328" spans="27:27" x14ac:dyDescent="0.25">
      <c r="AA328" s="13">
        <f>Apr!G30</f>
        <v>0</v>
      </c>
    </row>
    <row r="329" spans="27:27" x14ac:dyDescent="0.25">
      <c r="AA329" s="13">
        <f>Apr!G31</f>
        <v>0</v>
      </c>
    </row>
    <row r="330" spans="27:27" x14ac:dyDescent="0.25">
      <c r="AA330" s="13">
        <f>Apr!G32</f>
        <v>0</v>
      </c>
    </row>
    <row r="331" spans="27:27" x14ac:dyDescent="0.25">
      <c r="AA331" s="13">
        <f>Apr!G33</f>
        <v>0</v>
      </c>
    </row>
    <row r="332" spans="27:27" x14ac:dyDescent="0.25">
      <c r="AA332" s="13">
        <f>Apr!G34</f>
        <v>0</v>
      </c>
    </row>
    <row r="333" spans="27:27" x14ac:dyDescent="0.25">
      <c r="AA333" s="13">
        <f>Apr!G35</f>
        <v>0</v>
      </c>
    </row>
    <row r="334" spans="27:27" x14ac:dyDescent="0.25">
      <c r="AA334" s="13">
        <f>Apr!G36</f>
        <v>0</v>
      </c>
    </row>
    <row r="335" spans="27:27" x14ac:dyDescent="0.25">
      <c r="AA335" s="13">
        <f>Apr!G37</f>
        <v>0</v>
      </c>
    </row>
    <row r="336" spans="27:27" x14ac:dyDescent="0.25">
      <c r="AA336" s="13">
        <f>Apr!G38</f>
        <v>0</v>
      </c>
    </row>
    <row r="337" spans="27:27" x14ac:dyDescent="0.25">
      <c r="AA337" s="13">
        <f>Apr!G39</f>
        <v>0</v>
      </c>
    </row>
    <row r="338" spans="27:27" x14ac:dyDescent="0.25">
      <c r="AA338" s="13">
        <f>Apr!G40</f>
        <v>0</v>
      </c>
    </row>
    <row r="339" spans="27:27" x14ac:dyDescent="0.25">
      <c r="AA339" s="13">
        <f>Apr!G41</f>
        <v>0</v>
      </c>
    </row>
    <row r="340" spans="27:27" x14ac:dyDescent="0.25">
      <c r="AA340" s="13">
        <f>Apr!G42</f>
        <v>0</v>
      </c>
    </row>
    <row r="341" spans="27:27" x14ac:dyDescent="0.25">
      <c r="AA341" s="13">
        <f>Apr!G43</f>
        <v>0</v>
      </c>
    </row>
    <row r="342" spans="27:27" x14ac:dyDescent="0.25">
      <c r="AA342" s="13">
        <f>Apr!G44</f>
        <v>0</v>
      </c>
    </row>
    <row r="343" spans="27:27" x14ac:dyDescent="0.25">
      <c r="AA343" s="13">
        <f>Apr!G45</f>
        <v>0</v>
      </c>
    </row>
    <row r="344" spans="27:27" x14ac:dyDescent="0.25">
      <c r="AA344" s="13">
        <f>Apr!G46</f>
        <v>0</v>
      </c>
    </row>
    <row r="345" spans="27:27" x14ac:dyDescent="0.25">
      <c r="AA345" s="13">
        <f>Apr!G47</f>
        <v>0</v>
      </c>
    </row>
    <row r="346" spans="27:27" x14ac:dyDescent="0.25">
      <c r="AA346" s="13">
        <f>Apr!G48</f>
        <v>0</v>
      </c>
    </row>
    <row r="347" spans="27:27" x14ac:dyDescent="0.25">
      <c r="AA347" s="13">
        <f>Apr!G49</f>
        <v>0</v>
      </c>
    </row>
    <row r="348" spans="27:27" x14ac:dyDescent="0.25">
      <c r="AA348" s="13">
        <f>Apr!G50</f>
        <v>0</v>
      </c>
    </row>
    <row r="349" spans="27:27" x14ac:dyDescent="0.25">
      <c r="AA349" s="13">
        <f>Apr!G51</f>
        <v>0</v>
      </c>
    </row>
    <row r="350" spans="27:27" x14ac:dyDescent="0.25">
      <c r="AA350" s="13">
        <f>Apr!G52</f>
        <v>0</v>
      </c>
    </row>
    <row r="351" spans="27:27" x14ac:dyDescent="0.25">
      <c r="AA351" s="13">
        <f>Apr!G53</f>
        <v>0</v>
      </c>
    </row>
    <row r="352" spans="27:27" x14ac:dyDescent="0.25">
      <c r="AA352" s="13">
        <f>Apr!G54</f>
        <v>0</v>
      </c>
    </row>
    <row r="353" spans="27:27" x14ac:dyDescent="0.25">
      <c r="AA353" s="13">
        <f>Apr!G55</f>
        <v>0</v>
      </c>
    </row>
    <row r="354" spans="27:27" x14ac:dyDescent="0.25">
      <c r="AA354" s="13">
        <f>Apr!G56</f>
        <v>0</v>
      </c>
    </row>
    <row r="355" spans="27:27" x14ac:dyDescent="0.25">
      <c r="AA355" s="13">
        <f>Apr!G57</f>
        <v>0</v>
      </c>
    </row>
    <row r="356" spans="27:27" x14ac:dyDescent="0.25">
      <c r="AA356" s="13">
        <f>Apr!G58</f>
        <v>0</v>
      </c>
    </row>
    <row r="357" spans="27:27" x14ac:dyDescent="0.25">
      <c r="AA357" s="13">
        <f>Apr!G59</f>
        <v>0</v>
      </c>
    </row>
    <row r="358" spans="27:27" x14ac:dyDescent="0.25">
      <c r="AA358" s="13">
        <f>Apr!G60</f>
        <v>0</v>
      </c>
    </row>
    <row r="359" spans="27:27" x14ac:dyDescent="0.25">
      <c r="AA359" s="13">
        <f>Apr!G61</f>
        <v>0</v>
      </c>
    </row>
    <row r="360" spans="27:27" x14ac:dyDescent="0.25">
      <c r="AA360" s="13">
        <f>Apr!G62</f>
        <v>0</v>
      </c>
    </row>
    <row r="361" spans="27:27" x14ac:dyDescent="0.25">
      <c r="AA361" s="13">
        <f>Apr!G63</f>
        <v>0</v>
      </c>
    </row>
    <row r="362" spans="27:27" x14ac:dyDescent="0.25">
      <c r="AA362" s="13">
        <f>Apr!G64</f>
        <v>0</v>
      </c>
    </row>
    <row r="363" spans="27:27" x14ac:dyDescent="0.25">
      <c r="AA363" s="13">
        <f>Apr!G65</f>
        <v>0</v>
      </c>
    </row>
    <row r="364" spans="27:27" x14ac:dyDescent="0.25">
      <c r="AA364" s="13">
        <f>Apr!G66</f>
        <v>0</v>
      </c>
    </row>
    <row r="365" spans="27:27" x14ac:dyDescent="0.25">
      <c r="AA365" s="13">
        <f>Apr!G67</f>
        <v>0</v>
      </c>
    </row>
    <row r="366" spans="27:27" x14ac:dyDescent="0.25">
      <c r="AA366" s="13">
        <f>Apr!G68</f>
        <v>0</v>
      </c>
    </row>
    <row r="367" spans="27:27" x14ac:dyDescent="0.25">
      <c r="AA367" s="13">
        <f>Apr!G69</f>
        <v>0</v>
      </c>
    </row>
    <row r="368" spans="27:27" x14ac:dyDescent="0.25">
      <c r="AA368" s="13">
        <f>Apr!G70</f>
        <v>0</v>
      </c>
    </row>
    <row r="369" spans="27:27" x14ac:dyDescent="0.25">
      <c r="AA369" s="13">
        <f>Apr!G71</f>
        <v>0</v>
      </c>
    </row>
    <row r="370" spans="27:27" x14ac:dyDescent="0.25">
      <c r="AA370" s="13">
        <f>Apr!G72</f>
        <v>0</v>
      </c>
    </row>
    <row r="371" spans="27:27" x14ac:dyDescent="0.25">
      <c r="AA371" s="13">
        <f>Apr!G73</f>
        <v>0</v>
      </c>
    </row>
    <row r="372" spans="27:27" x14ac:dyDescent="0.25">
      <c r="AA372" s="13">
        <f>Apr!G74</f>
        <v>0</v>
      </c>
    </row>
    <row r="373" spans="27:27" x14ac:dyDescent="0.25">
      <c r="AA373" s="13">
        <f>Apr!G75</f>
        <v>0</v>
      </c>
    </row>
    <row r="374" spans="27:27" x14ac:dyDescent="0.25">
      <c r="AA374" s="13">
        <f>Apr!G76</f>
        <v>0</v>
      </c>
    </row>
    <row r="375" spans="27:27" x14ac:dyDescent="0.25">
      <c r="AA375" s="13">
        <f>Apr!G77</f>
        <v>0</v>
      </c>
    </row>
    <row r="376" spans="27:27" x14ac:dyDescent="0.25">
      <c r="AA376" s="13">
        <f>Apr!G78</f>
        <v>0</v>
      </c>
    </row>
    <row r="377" spans="27:27" x14ac:dyDescent="0.25">
      <c r="AA377" s="13">
        <f>Apr!G79</f>
        <v>0</v>
      </c>
    </row>
    <row r="378" spans="27:27" x14ac:dyDescent="0.25">
      <c r="AA378" s="13">
        <f>Apr!G80</f>
        <v>0</v>
      </c>
    </row>
    <row r="379" spans="27:27" x14ac:dyDescent="0.25">
      <c r="AA379" s="13">
        <f>Apr!G81</f>
        <v>0</v>
      </c>
    </row>
    <row r="380" spans="27:27" x14ac:dyDescent="0.25">
      <c r="AA380" s="13">
        <f>Apr!G82</f>
        <v>0</v>
      </c>
    </row>
    <row r="381" spans="27:27" x14ac:dyDescent="0.25">
      <c r="AA381" s="13">
        <f>Apr!G83</f>
        <v>0</v>
      </c>
    </row>
    <row r="382" spans="27:27" x14ac:dyDescent="0.25">
      <c r="AA382" s="13">
        <f>Apr!G84</f>
        <v>0</v>
      </c>
    </row>
    <row r="383" spans="27:27" x14ac:dyDescent="0.25">
      <c r="AA383" s="13">
        <f>Apr!G85</f>
        <v>0</v>
      </c>
    </row>
    <row r="384" spans="27:27" x14ac:dyDescent="0.25">
      <c r="AA384" s="13">
        <f>Apr!G86</f>
        <v>0</v>
      </c>
    </row>
    <row r="385" spans="27:27" x14ac:dyDescent="0.25">
      <c r="AA385" s="13">
        <f>Apr!G87</f>
        <v>0</v>
      </c>
    </row>
    <row r="386" spans="27:27" x14ac:dyDescent="0.25">
      <c r="AA386" s="13">
        <f>Apr!G88</f>
        <v>0</v>
      </c>
    </row>
    <row r="387" spans="27:27" x14ac:dyDescent="0.25">
      <c r="AA387" s="13">
        <f>Apr!G89</f>
        <v>0</v>
      </c>
    </row>
    <row r="388" spans="27:27" x14ac:dyDescent="0.25">
      <c r="AA388" s="13">
        <f>Apr!G90</f>
        <v>0</v>
      </c>
    </row>
    <row r="389" spans="27:27" x14ac:dyDescent="0.25">
      <c r="AA389" s="13">
        <f>Apr!G91</f>
        <v>0</v>
      </c>
    </row>
    <row r="390" spans="27:27" x14ac:dyDescent="0.25">
      <c r="AA390" s="13">
        <f>Apr!G92</f>
        <v>0</v>
      </c>
    </row>
    <row r="391" spans="27:27" x14ac:dyDescent="0.25">
      <c r="AA391" s="13">
        <f>Apr!G93</f>
        <v>0</v>
      </c>
    </row>
    <row r="392" spans="27:27" x14ac:dyDescent="0.25">
      <c r="AA392" s="13">
        <f>Apr!G94</f>
        <v>0</v>
      </c>
    </row>
    <row r="393" spans="27:27" x14ac:dyDescent="0.25">
      <c r="AA393" s="13">
        <f>Apr!G95</f>
        <v>0</v>
      </c>
    </row>
    <row r="394" spans="27:27" x14ac:dyDescent="0.25">
      <c r="AA394" s="13">
        <f>Apr!G96</f>
        <v>0</v>
      </c>
    </row>
    <row r="395" spans="27:27" x14ac:dyDescent="0.25">
      <c r="AA395" s="13">
        <f>Apr!G97</f>
        <v>0</v>
      </c>
    </row>
    <row r="396" spans="27:27" x14ac:dyDescent="0.25">
      <c r="AA396" s="13">
        <f>Apr!G98</f>
        <v>0</v>
      </c>
    </row>
    <row r="397" spans="27:27" x14ac:dyDescent="0.25">
      <c r="AA397" s="13">
        <f>Apr!G99</f>
        <v>0</v>
      </c>
    </row>
    <row r="398" spans="27:27" x14ac:dyDescent="0.25">
      <c r="AA398" s="13">
        <f>Apr!G100</f>
        <v>0</v>
      </c>
    </row>
    <row r="400" spans="27:27" x14ac:dyDescent="0.25">
      <c r="AA400" s="13">
        <f>May!G2</f>
        <v>0</v>
      </c>
    </row>
    <row r="401" spans="27:27" x14ac:dyDescent="0.25">
      <c r="AA401" s="13">
        <f>May!G3</f>
        <v>0</v>
      </c>
    </row>
    <row r="402" spans="27:27" x14ac:dyDescent="0.25">
      <c r="AA402" s="13">
        <f>May!G4</f>
        <v>0</v>
      </c>
    </row>
    <row r="403" spans="27:27" x14ac:dyDescent="0.25">
      <c r="AA403" s="13">
        <f>May!G5</f>
        <v>0</v>
      </c>
    </row>
    <row r="404" spans="27:27" x14ac:dyDescent="0.25">
      <c r="AA404" s="13">
        <f>May!G6</f>
        <v>0</v>
      </c>
    </row>
    <row r="405" spans="27:27" x14ac:dyDescent="0.25">
      <c r="AA405" s="13">
        <f>May!G7</f>
        <v>0</v>
      </c>
    </row>
    <row r="406" spans="27:27" x14ac:dyDescent="0.25">
      <c r="AA406" s="13">
        <f>May!G8</f>
        <v>0</v>
      </c>
    </row>
    <row r="407" spans="27:27" x14ac:dyDescent="0.25">
      <c r="AA407" s="13">
        <f>May!G9</f>
        <v>0</v>
      </c>
    </row>
    <row r="408" spans="27:27" x14ac:dyDescent="0.25">
      <c r="AA408" s="13">
        <f>May!G10</f>
        <v>0</v>
      </c>
    </row>
    <row r="409" spans="27:27" x14ac:dyDescent="0.25">
      <c r="AA409" s="13">
        <f>May!G11</f>
        <v>0</v>
      </c>
    </row>
    <row r="410" spans="27:27" x14ac:dyDescent="0.25">
      <c r="AA410" s="13">
        <f>May!G12</f>
        <v>0</v>
      </c>
    </row>
    <row r="411" spans="27:27" x14ac:dyDescent="0.25">
      <c r="AA411" s="13">
        <f>May!G13</f>
        <v>0</v>
      </c>
    </row>
    <row r="412" spans="27:27" x14ac:dyDescent="0.25">
      <c r="AA412" s="13">
        <f>May!G14</f>
        <v>0</v>
      </c>
    </row>
    <row r="413" spans="27:27" x14ac:dyDescent="0.25">
      <c r="AA413" s="13">
        <f>May!G15</f>
        <v>0</v>
      </c>
    </row>
    <row r="414" spans="27:27" x14ac:dyDescent="0.25">
      <c r="AA414" s="13">
        <f>May!G16</f>
        <v>0</v>
      </c>
    </row>
    <row r="415" spans="27:27" x14ac:dyDescent="0.25">
      <c r="AA415" s="13">
        <f>May!G17</f>
        <v>0</v>
      </c>
    </row>
    <row r="416" spans="27:27" x14ac:dyDescent="0.25">
      <c r="AA416" s="13">
        <f>May!G18</f>
        <v>0</v>
      </c>
    </row>
    <row r="417" spans="27:27" x14ac:dyDescent="0.25">
      <c r="AA417" s="13">
        <f>May!G19</f>
        <v>0</v>
      </c>
    </row>
    <row r="418" spans="27:27" x14ac:dyDescent="0.25">
      <c r="AA418" s="13">
        <f>May!G20</f>
        <v>0</v>
      </c>
    </row>
    <row r="419" spans="27:27" x14ac:dyDescent="0.25">
      <c r="AA419" s="13">
        <f>May!G21</f>
        <v>0</v>
      </c>
    </row>
    <row r="420" spans="27:27" x14ac:dyDescent="0.25">
      <c r="AA420" s="13">
        <f>May!G22</f>
        <v>0</v>
      </c>
    </row>
    <row r="421" spans="27:27" x14ac:dyDescent="0.25">
      <c r="AA421" s="13">
        <f>May!G23</f>
        <v>0</v>
      </c>
    </row>
    <row r="422" spans="27:27" x14ac:dyDescent="0.25">
      <c r="AA422" s="13">
        <f>May!G24</f>
        <v>0</v>
      </c>
    </row>
    <row r="423" spans="27:27" x14ac:dyDescent="0.25">
      <c r="AA423" s="13">
        <f>May!G25</f>
        <v>0</v>
      </c>
    </row>
    <row r="424" spans="27:27" x14ac:dyDescent="0.25">
      <c r="AA424" s="13">
        <f>May!G26</f>
        <v>0</v>
      </c>
    </row>
    <row r="425" spans="27:27" x14ac:dyDescent="0.25">
      <c r="AA425" s="13">
        <f>May!G27</f>
        <v>0</v>
      </c>
    </row>
    <row r="426" spans="27:27" x14ac:dyDescent="0.25">
      <c r="AA426" s="13">
        <f>May!G28</f>
        <v>0</v>
      </c>
    </row>
    <row r="427" spans="27:27" x14ac:dyDescent="0.25">
      <c r="AA427" s="13">
        <f>May!G29</f>
        <v>0</v>
      </c>
    </row>
    <row r="428" spans="27:27" x14ac:dyDescent="0.25">
      <c r="AA428" s="13">
        <f>May!G30</f>
        <v>0</v>
      </c>
    </row>
    <row r="429" spans="27:27" x14ac:dyDescent="0.25">
      <c r="AA429" s="13">
        <f>May!G31</f>
        <v>0</v>
      </c>
    </row>
    <row r="430" spans="27:27" x14ac:dyDescent="0.25">
      <c r="AA430" s="13">
        <f>May!G32</f>
        <v>0</v>
      </c>
    </row>
    <row r="431" spans="27:27" x14ac:dyDescent="0.25">
      <c r="AA431" s="13">
        <f>May!G33</f>
        <v>0</v>
      </c>
    </row>
    <row r="432" spans="27:27" x14ac:dyDescent="0.25">
      <c r="AA432" s="13">
        <f>May!G34</f>
        <v>0</v>
      </c>
    </row>
    <row r="433" spans="27:27" x14ac:dyDescent="0.25">
      <c r="AA433" s="13">
        <f>May!G35</f>
        <v>0</v>
      </c>
    </row>
    <row r="434" spans="27:27" x14ac:dyDescent="0.25">
      <c r="AA434" s="13">
        <f>May!G36</f>
        <v>0</v>
      </c>
    </row>
    <row r="435" spans="27:27" x14ac:dyDescent="0.25">
      <c r="AA435" s="13">
        <f>May!G37</f>
        <v>0</v>
      </c>
    </row>
    <row r="436" spans="27:27" x14ac:dyDescent="0.25">
      <c r="AA436" s="13">
        <f>May!G38</f>
        <v>0</v>
      </c>
    </row>
    <row r="437" spans="27:27" x14ac:dyDescent="0.25">
      <c r="AA437" s="13">
        <f>May!G39</f>
        <v>0</v>
      </c>
    </row>
    <row r="438" spans="27:27" x14ac:dyDescent="0.25">
      <c r="AA438" s="13">
        <f>May!G40</f>
        <v>0</v>
      </c>
    </row>
    <row r="439" spans="27:27" x14ac:dyDescent="0.25">
      <c r="AA439" s="13">
        <f>May!G41</f>
        <v>0</v>
      </c>
    </row>
    <row r="440" spans="27:27" x14ac:dyDescent="0.25">
      <c r="AA440" s="13">
        <f>May!G42</f>
        <v>0</v>
      </c>
    </row>
    <row r="441" spans="27:27" x14ac:dyDescent="0.25">
      <c r="AA441" s="13">
        <f>May!G43</f>
        <v>0</v>
      </c>
    </row>
    <row r="442" spans="27:27" x14ac:dyDescent="0.25">
      <c r="AA442" s="13">
        <f>May!G44</f>
        <v>0</v>
      </c>
    </row>
    <row r="443" spans="27:27" x14ac:dyDescent="0.25">
      <c r="AA443" s="13">
        <f>May!G45</f>
        <v>0</v>
      </c>
    </row>
    <row r="444" spans="27:27" x14ac:dyDescent="0.25">
      <c r="AA444" s="13">
        <f>May!G46</f>
        <v>0</v>
      </c>
    </row>
    <row r="445" spans="27:27" x14ac:dyDescent="0.25">
      <c r="AA445" s="13">
        <f>May!G47</f>
        <v>0</v>
      </c>
    </row>
    <row r="446" spans="27:27" x14ac:dyDescent="0.25">
      <c r="AA446" s="13">
        <f>May!G48</f>
        <v>0</v>
      </c>
    </row>
    <row r="447" spans="27:27" x14ac:dyDescent="0.25">
      <c r="AA447" s="13">
        <f>May!G49</f>
        <v>0</v>
      </c>
    </row>
    <row r="448" spans="27:27" x14ac:dyDescent="0.25">
      <c r="AA448" s="13">
        <f>May!G50</f>
        <v>0</v>
      </c>
    </row>
    <row r="449" spans="27:27" x14ac:dyDescent="0.25">
      <c r="AA449" s="13">
        <f>May!G51</f>
        <v>0</v>
      </c>
    </row>
    <row r="450" spans="27:27" x14ac:dyDescent="0.25">
      <c r="AA450" s="13">
        <f>May!G52</f>
        <v>0</v>
      </c>
    </row>
    <row r="451" spans="27:27" x14ac:dyDescent="0.25">
      <c r="AA451" s="13">
        <f>May!G53</f>
        <v>0</v>
      </c>
    </row>
    <row r="452" spans="27:27" x14ac:dyDescent="0.25">
      <c r="AA452" s="13">
        <f>May!G54</f>
        <v>0</v>
      </c>
    </row>
    <row r="453" spans="27:27" x14ac:dyDescent="0.25">
      <c r="AA453" s="13">
        <f>May!G55</f>
        <v>0</v>
      </c>
    </row>
    <row r="454" spans="27:27" x14ac:dyDescent="0.25">
      <c r="AA454" s="13">
        <f>May!G56</f>
        <v>0</v>
      </c>
    </row>
    <row r="455" spans="27:27" x14ac:dyDescent="0.25">
      <c r="AA455" s="13">
        <f>May!G57</f>
        <v>0</v>
      </c>
    </row>
    <row r="456" spans="27:27" x14ac:dyDescent="0.25">
      <c r="AA456" s="13">
        <f>May!G58</f>
        <v>0</v>
      </c>
    </row>
    <row r="457" spans="27:27" x14ac:dyDescent="0.25">
      <c r="AA457" s="13">
        <f>May!G59</f>
        <v>0</v>
      </c>
    </row>
    <row r="458" spans="27:27" x14ac:dyDescent="0.25">
      <c r="AA458" s="13">
        <f>May!G60</f>
        <v>0</v>
      </c>
    </row>
    <row r="459" spans="27:27" x14ac:dyDescent="0.25">
      <c r="AA459" s="13">
        <f>May!G61</f>
        <v>0</v>
      </c>
    </row>
    <row r="460" spans="27:27" x14ac:dyDescent="0.25">
      <c r="AA460" s="13">
        <f>May!G62</f>
        <v>0</v>
      </c>
    </row>
    <row r="461" spans="27:27" x14ac:dyDescent="0.25">
      <c r="AA461" s="13">
        <f>May!G63</f>
        <v>0</v>
      </c>
    </row>
    <row r="462" spans="27:27" x14ac:dyDescent="0.25">
      <c r="AA462" s="13">
        <f>May!G64</f>
        <v>0</v>
      </c>
    </row>
    <row r="463" spans="27:27" x14ac:dyDescent="0.25">
      <c r="AA463" s="13">
        <f>May!G65</f>
        <v>0</v>
      </c>
    </row>
    <row r="464" spans="27:27" x14ac:dyDescent="0.25">
      <c r="AA464" s="13">
        <f>May!G66</f>
        <v>0</v>
      </c>
    </row>
    <row r="465" spans="27:27" x14ac:dyDescent="0.25">
      <c r="AA465" s="13">
        <f>May!G67</f>
        <v>0</v>
      </c>
    </row>
    <row r="466" spans="27:27" x14ac:dyDescent="0.25">
      <c r="AA466" s="13">
        <f>May!G68</f>
        <v>0</v>
      </c>
    </row>
    <row r="467" spans="27:27" x14ac:dyDescent="0.25">
      <c r="AA467" s="13">
        <f>May!G69</f>
        <v>0</v>
      </c>
    </row>
    <row r="468" spans="27:27" x14ac:dyDescent="0.25">
      <c r="AA468" s="13">
        <f>May!G70</f>
        <v>0</v>
      </c>
    </row>
    <row r="469" spans="27:27" x14ac:dyDescent="0.25">
      <c r="AA469" s="13">
        <f>May!G71</f>
        <v>0</v>
      </c>
    </row>
    <row r="470" spans="27:27" x14ac:dyDescent="0.25">
      <c r="AA470" s="13">
        <f>May!G72</f>
        <v>0</v>
      </c>
    </row>
    <row r="471" spans="27:27" x14ac:dyDescent="0.25">
      <c r="AA471" s="13">
        <f>May!G73</f>
        <v>0</v>
      </c>
    </row>
    <row r="472" spans="27:27" x14ac:dyDescent="0.25">
      <c r="AA472" s="13">
        <f>May!G74</f>
        <v>0</v>
      </c>
    </row>
    <row r="473" spans="27:27" x14ac:dyDescent="0.25">
      <c r="AA473" s="13">
        <f>May!G75</f>
        <v>0</v>
      </c>
    </row>
    <row r="474" spans="27:27" x14ac:dyDescent="0.25">
      <c r="AA474" s="13">
        <f>May!G76</f>
        <v>0</v>
      </c>
    </row>
    <row r="475" spans="27:27" x14ac:dyDescent="0.25">
      <c r="AA475" s="13">
        <f>May!G77</f>
        <v>0</v>
      </c>
    </row>
    <row r="476" spans="27:27" x14ac:dyDescent="0.25">
      <c r="AA476" s="13">
        <f>May!G78</f>
        <v>0</v>
      </c>
    </row>
    <row r="477" spans="27:27" x14ac:dyDescent="0.25">
      <c r="AA477" s="13">
        <f>May!G79</f>
        <v>0</v>
      </c>
    </row>
    <row r="478" spans="27:27" x14ac:dyDescent="0.25">
      <c r="AA478" s="13">
        <f>May!G80</f>
        <v>0</v>
      </c>
    </row>
    <row r="479" spans="27:27" x14ac:dyDescent="0.25">
      <c r="AA479" s="13">
        <f>May!G81</f>
        <v>0</v>
      </c>
    </row>
    <row r="480" spans="27:27" x14ac:dyDescent="0.25">
      <c r="AA480" s="13">
        <f>May!G82</f>
        <v>0</v>
      </c>
    </row>
    <row r="481" spans="27:27" x14ac:dyDescent="0.25">
      <c r="AA481" s="13">
        <f>May!G83</f>
        <v>0</v>
      </c>
    </row>
    <row r="482" spans="27:27" x14ac:dyDescent="0.25">
      <c r="AA482" s="13">
        <f>May!G84</f>
        <v>0</v>
      </c>
    </row>
    <row r="483" spans="27:27" x14ac:dyDescent="0.25">
      <c r="AA483" s="13">
        <f>May!G85</f>
        <v>0</v>
      </c>
    </row>
    <row r="484" spans="27:27" x14ac:dyDescent="0.25">
      <c r="AA484" s="13">
        <f>May!G86</f>
        <v>0</v>
      </c>
    </row>
    <row r="485" spans="27:27" x14ac:dyDescent="0.25">
      <c r="AA485" s="13">
        <f>May!G87</f>
        <v>0</v>
      </c>
    </row>
    <row r="486" spans="27:27" x14ac:dyDescent="0.25">
      <c r="AA486" s="13">
        <f>May!G88</f>
        <v>0</v>
      </c>
    </row>
    <row r="487" spans="27:27" x14ac:dyDescent="0.25">
      <c r="AA487" s="13">
        <f>May!G89</f>
        <v>0</v>
      </c>
    </row>
    <row r="488" spans="27:27" x14ac:dyDescent="0.25">
      <c r="AA488" s="13">
        <f>May!G90</f>
        <v>0</v>
      </c>
    </row>
    <row r="489" spans="27:27" x14ac:dyDescent="0.25">
      <c r="AA489" s="13">
        <f>May!G91</f>
        <v>0</v>
      </c>
    </row>
    <row r="490" spans="27:27" x14ac:dyDescent="0.25">
      <c r="AA490" s="13">
        <f>May!G92</f>
        <v>0</v>
      </c>
    </row>
    <row r="491" spans="27:27" x14ac:dyDescent="0.25">
      <c r="AA491" s="13">
        <f>May!G93</f>
        <v>0</v>
      </c>
    </row>
    <row r="492" spans="27:27" x14ac:dyDescent="0.25">
      <c r="AA492" s="13">
        <f>May!G94</f>
        <v>0</v>
      </c>
    </row>
    <row r="493" spans="27:27" x14ac:dyDescent="0.25">
      <c r="AA493" s="13">
        <f>May!G95</f>
        <v>0</v>
      </c>
    </row>
    <row r="494" spans="27:27" x14ac:dyDescent="0.25">
      <c r="AA494" s="13">
        <f>May!G96</f>
        <v>0</v>
      </c>
    </row>
    <row r="495" spans="27:27" x14ac:dyDescent="0.25">
      <c r="AA495" s="13">
        <f>May!G97</f>
        <v>0</v>
      </c>
    </row>
    <row r="496" spans="27:27" x14ac:dyDescent="0.25">
      <c r="AA496" s="13">
        <f>May!G98</f>
        <v>0</v>
      </c>
    </row>
    <row r="497" spans="27:27" x14ac:dyDescent="0.25">
      <c r="AA497" s="13">
        <f>May!G99</f>
        <v>0</v>
      </c>
    </row>
    <row r="498" spans="27:27" x14ac:dyDescent="0.25">
      <c r="AA498" s="13">
        <f>May!G100</f>
        <v>0</v>
      </c>
    </row>
    <row r="499" spans="27:27" x14ac:dyDescent="0.25">
      <c r="AA499" s="13">
        <f>May!G101</f>
        <v>0</v>
      </c>
    </row>
    <row r="501" spans="27:27" x14ac:dyDescent="0.25">
      <c r="AA501" s="13">
        <f>Jun!G2</f>
        <v>0</v>
      </c>
    </row>
    <row r="502" spans="27:27" x14ac:dyDescent="0.25">
      <c r="AA502" s="13">
        <f>Jun!G3</f>
        <v>0</v>
      </c>
    </row>
    <row r="503" spans="27:27" x14ac:dyDescent="0.25">
      <c r="AA503" s="13">
        <f>Jun!G4</f>
        <v>0</v>
      </c>
    </row>
    <row r="504" spans="27:27" x14ac:dyDescent="0.25">
      <c r="AA504" s="13">
        <f>Jun!G5</f>
        <v>0</v>
      </c>
    </row>
    <row r="505" spans="27:27" x14ac:dyDescent="0.25">
      <c r="AA505" s="13">
        <f>Jun!G6</f>
        <v>0</v>
      </c>
    </row>
    <row r="506" spans="27:27" x14ac:dyDescent="0.25">
      <c r="AA506" s="13">
        <f>Jun!G7</f>
        <v>0</v>
      </c>
    </row>
    <row r="507" spans="27:27" x14ac:dyDescent="0.25">
      <c r="AA507" s="13">
        <f>Jun!G8</f>
        <v>0</v>
      </c>
    </row>
    <row r="508" spans="27:27" x14ac:dyDescent="0.25">
      <c r="AA508" s="13">
        <f>Jun!G9</f>
        <v>0</v>
      </c>
    </row>
    <row r="509" spans="27:27" x14ac:dyDescent="0.25">
      <c r="AA509" s="13">
        <f>Jun!G10</f>
        <v>0</v>
      </c>
    </row>
    <row r="510" spans="27:27" x14ac:dyDescent="0.25">
      <c r="AA510" s="13">
        <f>Jun!G11</f>
        <v>0</v>
      </c>
    </row>
    <row r="511" spans="27:27" x14ac:dyDescent="0.25">
      <c r="AA511" s="13">
        <f>Jun!G12</f>
        <v>0</v>
      </c>
    </row>
    <row r="512" spans="27:27" x14ac:dyDescent="0.25">
      <c r="AA512" s="13">
        <f>Jun!G13</f>
        <v>0</v>
      </c>
    </row>
    <row r="513" spans="27:27" x14ac:dyDescent="0.25">
      <c r="AA513" s="13">
        <f>Jun!G14</f>
        <v>0</v>
      </c>
    </row>
    <row r="514" spans="27:27" x14ac:dyDescent="0.25">
      <c r="AA514" s="13">
        <f>Jun!G15</f>
        <v>0</v>
      </c>
    </row>
    <row r="515" spans="27:27" x14ac:dyDescent="0.25">
      <c r="AA515" s="13">
        <f>Jun!G16</f>
        <v>0</v>
      </c>
    </row>
    <row r="516" spans="27:27" x14ac:dyDescent="0.25">
      <c r="AA516" s="13">
        <f>Jun!G17</f>
        <v>0</v>
      </c>
    </row>
    <row r="517" spans="27:27" x14ac:dyDescent="0.25">
      <c r="AA517" s="13">
        <f>Jun!G18</f>
        <v>0</v>
      </c>
    </row>
    <row r="518" spans="27:27" x14ac:dyDescent="0.25">
      <c r="AA518" s="13">
        <f>Jun!G19</f>
        <v>0</v>
      </c>
    </row>
    <row r="519" spans="27:27" x14ac:dyDescent="0.25">
      <c r="AA519" s="13">
        <f>Jun!G20</f>
        <v>0</v>
      </c>
    </row>
    <row r="520" spans="27:27" x14ac:dyDescent="0.25">
      <c r="AA520" s="13">
        <f>Jun!G21</f>
        <v>0</v>
      </c>
    </row>
    <row r="521" spans="27:27" x14ac:dyDescent="0.25">
      <c r="AA521" s="13">
        <f>Jun!G22</f>
        <v>0</v>
      </c>
    </row>
    <row r="522" spans="27:27" x14ac:dyDescent="0.25">
      <c r="AA522" s="13">
        <f>Jun!G23</f>
        <v>0</v>
      </c>
    </row>
    <row r="523" spans="27:27" x14ac:dyDescent="0.25">
      <c r="AA523" s="13">
        <f>Jun!G24</f>
        <v>0</v>
      </c>
    </row>
    <row r="524" spans="27:27" x14ac:dyDescent="0.25">
      <c r="AA524" s="13">
        <f>Jun!G25</f>
        <v>0</v>
      </c>
    </row>
    <row r="525" spans="27:27" x14ac:dyDescent="0.25">
      <c r="AA525" s="13">
        <f>Jun!G26</f>
        <v>0</v>
      </c>
    </row>
    <row r="526" spans="27:27" x14ac:dyDescent="0.25">
      <c r="AA526" s="13">
        <f>Jun!G27</f>
        <v>0</v>
      </c>
    </row>
    <row r="527" spans="27:27" x14ac:dyDescent="0.25">
      <c r="AA527" s="13">
        <f>Jun!G28</f>
        <v>0</v>
      </c>
    </row>
    <row r="528" spans="27:27" x14ac:dyDescent="0.25">
      <c r="AA528" s="13">
        <f>Jun!G29</f>
        <v>0</v>
      </c>
    </row>
    <row r="529" spans="27:27" x14ac:dyDescent="0.25">
      <c r="AA529" s="13">
        <f>Jun!G30</f>
        <v>0</v>
      </c>
    </row>
    <row r="530" spans="27:27" x14ac:dyDescent="0.25">
      <c r="AA530" s="13">
        <f>Jun!G31</f>
        <v>0</v>
      </c>
    </row>
    <row r="531" spans="27:27" x14ac:dyDescent="0.25">
      <c r="AA531" s="13">
        <f>Jun!G32</f>
        <v>0</v>
      </c>
    </row>
    <row r="532" spans="27:27" x14ac:dyDescent="0.25">
      <c r="AA532" s="13">
        <f>Jun!G33</f>
        <v>0</v>
      </c>
    </row>
    <row r="533" spans="27:27" x14ac:dyDescent="0.25">
      <c r="AA533" s="13">
        <f>Jun!G34</f>
        <v>0</v>
      </c>
    </row>
    <row r="534" spans="27:27" x14ac:dyDescent="0.25">
      <c r="AA534" s="13">
        <f>Jun!G35</f>
        <v>0</v>
      </c>
    </row>
    <row r="535" spans="27:27" x14ac:dyDescent="0.25">
      <c r="AA535" s="13">
        <f>Jun!G36</f>
        <v>0</v>
      </c>
    </row>
    <row r="536" spans="27:27" x14ac:dyDescent="0.25">
      <c r="AA536" s="13">
        <f>Jun!G37</f>
        <v>0</v>
      </c>
    </row>
    <row r="537" spans="27:27" x14ac:dyDescent="0.25">
      <c r="AA537" s="13">
        <f>Jun!G38</f>
        <v>0</v>
      </c>
    </row>
    <row r="538" spans="27:27" x14ac:dyDescent="0.25">
      <c r="AA538" s="13">
        <f>Jun!G39</f>
        <v>0</v>
      </c>
    </row>
    <row r="539" spans="27:27" x14ac:dyDescent="0.25">
      <c r="AA539" s="13">
        <f>Jun!G40</f>
        <v>0</v>
      </c>
    </row>
    <row r="540" spans="27:27" x14ac:dyDescent="0.25">
      <c r="AA540" s="13">
        <f>Jun!G41</f>
        <v>0</v>
      </c>
    </row>
    <row r="541" spans="27:27" x14ac:dyDescent="0.25">
      <c r="AA541" s="13">
        <f>Jun!G42</f>
        <v>0</v>
      </c>
    </row>
    <row r="542" spans="27:27" x14ac:dyDescent="0.25">
      <c r="AA542" s="13">
        <f>Jun!G43</f>
        <v>0</v>
      </c>
    </row>
    <row r="543" spans="27:27" x14ac:dyDescent="0.25">
      <c r="AA543" s="13">
        <f>Jun!G44</f>
        <v>0</v>
      </c>
    </row>
    <row r="544" spans="27:27" x14ac:dyDescent="0.25">
      <c r="AA544" s="13">
        <f>Jun!G45</f>
        <v>0</v>
      </c>
    </row>
    <row r="545" spans="27:27" x14ac:dyDescent="0.25">
      <c r="AA545" s="13">
        <f>Jun!G46</f>
        <v>0</v>
      </c>
    </row>
    <row r="546" spans="27:27" x14ac:dyDescent="0.25">
      <c r="AA546" s="13">
        <f>Jun!G47</f>
        <v>0</v>
      </c>
    </row>
    <row r="547" spans="27:27" x14ac:dyDescent="0.25">
      <c r="AA547" s="13">
        <f>Jun!G48</f>
        <v>0</v>
      </c>
    </row>
    <row r="548" spans="27:27" x14ac:dyDescent="0.25">
      <c r="AA548" s="13">
        <f>Jun!G49</f>
        <v>0</v>
      </c>
    </row>
    <row r="549" spans="27:27" x14ac:dyDescent="0.25">
      <c r="AA549" s="13">
        <f>Jun!G50</f>
        <v>0</v>
      </c>
    </row>
    <row r="550" spans="27:27" x14ac:dyDescent="0.25">
      <c r="AA550" s="13">
        <f>Jun!G51</f>
        <v>0</v>
      </c>
    </row>
    <row r="551" spans="27:27" x14ac:dyDescent="0.25">
      <c r="AA551" s="13">
        <f>Jun!G52</f>
        <v>0</v>
      </c>
    </row>
    <row r="552" spans="27:27" x14ac:dyDescent="0.25">
      <c r="AA552" s="13">
        <f>Jun!G53</f>
        <v>0</v>
      </c>
    </row>
    <row r="553" spans="27:27" x14ac:dyDescent="0.25">
      <c r="AA553" s="13">
        <f>Jun!G54</f>
        <v>0</v>
      </c>
    </row>
    <row r="554" spans="27:27" x14ac:dyDescent="0.25">
      <c r="AA554" s="13">
        <f>Jun!G55</f>
        <v>0</v>
      </c>
    </row>
    <row r="555" spans="27:27" x14ac:dyDescent="0.25">
      <c r="AA555" s="13">
        <f>Jun!G56</f>
        <v>0</v>
      </c>
    </row>
    <row r="556" spans="27:27" x14ac:dyDescent="0.25">
      <c r="AA556" s="13">
        <f>Jun!G57</f>
        <v>0</v>
      </c>
    </row>
    <row r="557" spans="27:27" x14ac:dyDescent="0.25">
      <c r="AA557" s="13">
        <f>Jun!G58</f>
        <v>0</v>
      </c>
    </row>
    <row r="558" spans="27:27" x14ac:dyDescent="0.25">
      <c r="AA558" s="13">
        <f>Jun!G59</f>
        <v>0</v>
      </c>
    </row>
    <row r="559" spans="27:27" x14ac:dyDescent="0.25">
      <c r="AA559" s="13">
        <f>Jun!G60</f>
        <v>0</v>
      </c>
    </row>
    <row r="560" spans="27:27" x14ac:dyDescent="0.25">
      <c r="AA560" s="13">
        <f>Jun!G61</f>
        <v>0</v>
      </c>
    </row>
    <row r="561" spans="27:27" x14ac:dyDescent="0.25">
      <c r="AA561" s="13">
        <f>Jun!G62</f>
        <v>0</v>
      </c>
    </row>
    <row r="562" spans="27:27" x14ac:dyDescent="0.25">
      <c r="AA562" s="13">
        <f>Jun!G63</f>
        <v>0</v>
      </c>
    </row>
    <row r="563" spans="27:27" x14ac:dyDescent="0.25">
      <c r="AA563" s="13">
        <f>Jun!G64</f>
        <v>0</v>
      </c>
    </row>
    <row r="564" spans="27:27" x14ac:dyDescent="0.25">
      <c r="AA564" s="13">
        <f>Jun!G65</f>
        <v>0</v>
      </c>
    </row>
    <row r="565" spans="27:27" x14ac:dyDescent="0.25">
      <c r="AA565" s="13">
        <f>Jun!G66</f>
        <v>0</v>
      </c>
    </row>
    <row r="566" spans="27:27" x14ac:dyDescent="0.25">
      <c r="AA566" s="13">
        <f>Jun!G67</f>
        <v>0</v>
      </c>
    </row>
    <row r="567" spans="27:27" x14ac:dyDescent="0.25">
      <c r="AA567" s="13">
        <f>Jun!G68</f>
        <v>0</v>
      </c>
    </row>
    <row r="568" spans="27:27" x14ac:dyDescent="0.25">
      <c r="AA568" s="13">
        <f>Jun!G69</f>
        <v>0</v>
      </c>
    </row>
    <row r="569" spans="27:27" x14ac:dyDescent="0.25">
      <c r="AA569" s="13">
        <f>Jun!G70</f>
        <v>0</v>
      </c>
    </row>
    <row r="570" spans="27:27" x14ac:dyDescent="0.25">
      <c r="AA570" s="13">
        <f>Jun!G71</f>
        <v>0</v>
      </c>
    </row>
    <row r="571" spans="27:27" x14ac:dyDescent="0.25">
      <c r="AA571" s="13">
        <f>Jun!G72</f>
        <v>0</v>
      </c>
    </row>
    <row r="572" spans="27:27" x14ac:dyDescent="0.25">
      <c r="AA572" s="13">
        <f>Jun!G73</f>
        <v>0</v>
      </c>
    </row>
    <row r="573" spans="27:27" x14ac:dyDescent="0.25">
      <c r="AA573" s="13">
        <f>Jun!G74</f>
        <v>0</v>
      </c>
    </row>
    <row r="574" spans="27:27" x14ac:dyDescent="0.25">
      <c r="AA574" s="13">
        <f>Jun!G75</f>
        <v>0</v>
      </c>
    </row>
    <row r="575" spans="27:27" x14ac:dyDescent="0.25">
      <c r="AA575" s="13">
        <f>Jun!G76</f>
        <v>0</v>
      </c>
    </row>
    <row r="576" spans="27:27" x14ac:dyDescent="0.25">
      <c r="AA576" s="13">
        <f>Jun!G77</f>
        <v>0</v>
      </c>
    </row>
    <row r="577" spans="27:27" x14ac:dyDescent="0.25">
      <c r="AA577" s="13">
        <f>Jun!G78</f>
        <v>0</v>
      </c>
    </row>
    <row r="578" spans="27:27" x14ac:dyDescent="0.25">
      <c r="AA578" s="13">
        <f>Jun!G79</f>
        <v>0</v>
      </c>
    </row>
    <row r="579" spans="27:27" x14ac:dyDescent="0.25">
      <c r="AA579" s="13">
        <f>Jun!G80</f>
        <v>0</v>
      </c>
    </row>
    <row r="580" spans="27:27" x14ac:dyDescent="0.25">
      <c r="AA580" s="13">
        <f>Jun!G81</f>
        <v>0</v>
      </c>
    </row>
    <row r="581" spans="27:27" x14ac:dyDescent="0.25">
      <c r="AA581" s="13">
        <f>Jun!G82</f>
        <v>0</v>
      </c>
    </row>
    <row r="582" spans="27:27" x14ac:dyDescent="0.25">
      <c r="AA582" s="13">
        <f>Jun!G83</f>
        <v>0</v>
      </c>
    </row>
    <row r="583" spans="27:27" x14ac:dyDescent="0.25">
      <c r="AA583" s="13">
        <f>Jun!G84</f>
        <v>0</v>
      </c>
    </row>
    <row r="584" spans="27:27" x14ac:dyDescent="0.25">
      <c r="AA584" s="13">
        <f>Jun!G85</f>
        <v>0</v>
      </c>
    </row>
    <row r="585" spans="27:27" x14ac:dyDescent="0.25">
      <c r="AA585" s="13">
        <f>Jun!G86</f>
        <v>0</v>
      </c>
    </row>
    <row r="586" spans="27:27" x14ac:dyDescent="0.25">
      <c r="AA586" s="13">
        <f>Jun!G87</f>
        <v>0</v>
      </c>
    </row>
    <row r="587" spans="27:27" x14ac:dyDescent="0.25">
      <c r="AA587" s="13">
        <f>Jun!G88</f>
        <v>0</v>
      </c>
    </row>
    <row r="588" spans="27:27" x14ac:dyDescent="0.25">
      <c r="AA588" s="13">
        <f>Jun!G89</f>
        <v>0</v>
      </c>
    </row>
    <row r="589" spans="27:27" x14ac:dyDescent="0.25">
      <c r="AA589" s="13">
        <f>Jun!G90</f>
        <v>0</v>
      </c>
    </row>
    <row r="590" spans="27:27" x14ac:dyDescent="0.25">
      <c r="AA590" s="13">
        <f>Jun!G91</f>
        <v>0</v>
      </c>
    </row>
    <row r="591" spans="27:27" x14ac:dyDescent="0.25">
      <c r="AA591" s="13">
        <f>Jun!G92</f>
        <v>0</v>
      </c>
    </row>
    <row r="592" spans="27:27" x14ac:dyDescent="0.25">
      <c r="AA592" s="13">
        <f>Jun!G93</f>
        <v>0</v>
      </c>
    </row>
    <row r="593" spans="27:27" x14ac:dyDescent="0.25">
      <c r="AA593" s="13">
        <f>Jun!G94</f>
        <v>0</v>
      </c>
    </row>
    <row r="594" spans="27:27" x14ac:dyDescent="0.25">
      <c r="AA594" s="13">
        <f>Jun!G95</f>
        <v>0</v>
      </c>
    </row>
    <row r="595" spans="27:27" x14ac:dyDescent="0.25">
      <c r="AA595" s="13">
        <f>Jun!G96</f>
        <v>0</v>
      </c>
    </row>
    <row r="596" spans="27:27" x14ac:dyDescent="0.25">
      <c r="AA596" s="13">
        <f>Jun!G97</f>
        <v>0</v>
      </c>
    </row>
    <row r="597" spans="27:27" x14ac:dyDescent="0.25">
      <c r="AA597" s="13">
        <f>Jun!G98</f>
        <v>0</v>
      </c>
    </row>
    <row r="598" spans="27:27" x14ac:dyDescent="0.25">
      <c r="AA598" s="13">
        <f>Jun!G99</f>
        <v>0</v>
      </c>
    </row>
    <row r="600" spans="27:27" x14ac:dyDescent="0.25">
      <c r="AA600" s="13">
        <f>Jul!G2</f>
        <v>0</v>
      </c>
    </row>
    <row r="601" spans="27:27" x14ac:dyDescent="0.25">
      <c r="AA601" s="13">
        <f>Jul!G3</f>
        <v>0</v>
      </c>
    </row>
    <row r="602" spans="27:27" x14ac:dyDescent="0.25">
      <c r="AA602" s="13">
        <f>Jul!G4</f>
        <v>0</v>
      </c>
    </row>
    <row r="603" spans="27:27" x14ac:dyDescent="0.25">
      <c r="AA603" s="13">
        <f>Jul!G5</f>
        <v>0</v>
      </c>
    </row>
    <row r="604" spans="27:27" x14ac:dyDescent="0.25">
      <c r="AA604" s="13">
        <f>Jul!G6</f>
        <v>0</v>
      </c>
    </row>
    <row r="605" spans="27:27" x14ac:dyDescent="0.25">
      <c r="AA605" s="13">
        <f>Jul!G7</f>
        <v>0</v>
      </c>
    </row>
    <row r="606" spans="27:27" x14ac:dyDescent="0.25">
      <c r="AA606" s="13">
        <f>Jul!G8</f>
        <v>0</v>
      </c>
    </row>
    <row r="607" spans="27:27" x14ac:dyDescent="0.25">
      <c r="AA607" s="13">
        <f>Jul!G9</f>
        <v>0</v>
      </c>
    </row>
    <row r="608" spans="27:27" x14ac:dyDescent="0.25">
      <c r="AA608" s="13">
        <f>Jul!G10</f>
        <v>0</v>
      </c>
    </row>
    <row r="609" spans="27:27" x14ac:dyDescent="0.25">
      <c r="AA609" s="13">
        <f>Jul!G11</f>
        <v>0</v>
      </c>
    </row>
    <row r="610" spans="27:27" x14ac:dyDescent="0.25">
      <c r="AA610" s="13">
        <f>Jul!G12</f>
        <v>0</v>
      </c>
    </row>
    <row r="611" spans="27:27" x14ac:dyDescent="0.25">
      <c r="AA611" s="13">
        <f>Jul!G13</f>
        <v>0</v>
      </c>
    </row>
    <row r="612" spans="27:27" x14ac:dyDescent="0.25">
      <c r="AA612" s="13">
        <f>Jul!G14</f>
        <v>0</v>
      </c>
    </row>
    <row r="613" spans="27:27" x14ac:dyDescent="0.25">
      <c r="AA613" s="13">
        <f>Jul!G15</f>
        <v>0</v>
      </c>
    </row>
    <row r="614" spans="27:27" x14ac:dyDescent="0.25">
      <c r="AA614" s="13">
        <f>Jul!G16</f>
        <v>0</v>
      </c>
    </row>
    <row r="615" spans="27:27" x14ac:dyDescent="0.25">
      <c r="AA615" s="13">
        <f>Jul!G17</f>
        <v>0</v>
      </c>
    </row>
    <row r="616" spans="27:27" x14ac:dyDescent="0.25">
      <c r="AA616" s="13">
        <f>Jul!G18</f>
        <v>0</v>
      </c>
    </row>
    <row r="617" spans="27:27" x14ac:dyDescent="0.25">
      <c r="AA617" s="13">
        <f>Jul!G19</f>
        <v>0</v>
      </c>
    </row>
    <row r="618" spans="27:27" x14ac:dyDescent="0.25">
      <c r="AA618" s="13">
        <f>Jul!G20</f>
        <v>0</v>
      </c>
    </row>
    <row r="619" spans="27:27" x14ac:dyDescent="0.25">
      <c r="AA619" s="13">
        <f>Jul!G21</f>
        <v>0</v>
      </c>
    </row>
    <row r="620" spans="27:27" x14ac:dyDescent="0.25">
      <c r="AA620" s="13">
        <f>Jul!G22</f>
        <v>0</v>
      </c>
    </row>
    <row r="621" spans="27:27" x14ac:dyDescent="0.25">
      <c r="AA621" s="13">
        <f>Jul!G23</f>
        <v>0</v>
      </c>
    </row>
    <row r="622" spans="27:27" x14ac:dyDescent="0.25">
      <c r="AA622" s="13">
        <f>Jul!G24</f>
        <v>0</v>
      </c>
    </row>
    <row r="623" spans="27:27" x14ac:dyDescent="0.25">
      <c r="AA623" s="13">
        <f>Jul!G25</f>
        <v>0</v>
      </c>
    </row>
    <row r="624" spans="27:27" x14ac:dyDescent="0.25">
      <c r="AA624" s="13">
        <f>Jul!G26</f>
        <v>0</v>
      </c>
    </row>
    <row r="625" spans="27:27" x14ac:dyDescent="0.25">
      <c r="AA625" s="13">
        <f>Jul!G27</f>
        <v>0</v>
      </c>
    </row>
    <row r="626" spans="27:27" x14ac:dyDescent="0.25">
      <c r="AA626" s="13">
        <f>Jul!G28</f>
        <v>0</v>
      </c>
    </row>
    <row r="627" spans="27:27" x14ac:dyDescent="0.25">
      <c r="AA627" s="13">
        <f>Jul!G29</f>
        <v>0</v>
      </c>
    </row>
    <row r="628" spans="27:27" x14ac:dyDescent="0.25">
      <c r="AA628" s="13">
        <f>Jul!G30</f>
        <v>0</v>
      </c>
    </row>
    <row r="629" spans="27:27" x14ac:dyDescent="0.25">
      <c r="AA629" s="13">
        <f>Jul!G31</f>
        <v>0</v>
      </c>
    </row>
    <row r="630" spans="27:27" x14ac:dyDescent="0.25">
      <c r="AA630" s="13">
        <f>Jul!G32</f>
        <v>0</v>
      </c>
    </row>
    <row r="631" spans="27:27" x14ac:dyDescent="0.25">
      <c r="AA631" s="13">
        <f>Jul!G33</f>
        <v>0</v>
      </c>
    </row>
    <row r="632" spans="27:27" x14ac:dyDescent="0.25">
      <c r="AA632" s="13">
        <f>Jul!G34</f>
        <v>0</v>
      </c>
    </row>
    <row r="633" spans="27:27" x14ac:dyDescent="0.25">
      <c r="AA633" s="13">
        <f>Jul!G35</f>
        <v>0</v>
      </c>
    </row>
    <row r="634" spans="27:27" x14ac:dyDescent="0.25">
      <c r="AA634" s="13">
        <f>Jul!G36</f>
        <v>0</v>
      </c>
    </row>
    <row r="635" spans="27:27" x14ac:dyDescent="0.25">
      <c r="AA635" s="13">
        <f>Jul!G37</f>
        <v>0</v>
      </c>
    </row>
    <row r="636" spans="27:27" x14ac:dyDescent="0.25">
      <c r="AA636" s="13">
        <f>Jul!G38</f>
        <v>0</v>
      </c>
    </row>
    <row r="637" spans="27:27" x14ac:dyDescent="0.25">
      <c r="AA637" s="13">
        <f>Jul!G39</f>
        <v>0</v>
      </c>
    </row>
    <row r="638" spans="27:27" x14ac:dyDescent="0.25">
      <c r="AA638" s="13">
        <f>Jul!G40</f>
        <v>0</v>
      </c>
    </row>
    <row r="639" spans="27:27" x14ac:dyDescent="0.25">
      <c r="AA639" s="13">
        <f>Jul!G41</f>
        <v>0</v>
      </c>
    </row>
    <row r="640" spans="27:27" x14ac:dyDescent="0.25">
      <c r="AA640" s="13">
        <f>Jul!G42</f>
        <v>0</v>
      </c>
    </row>
    <row r="641" spans="27:27" x14ac:dyDescent="0.25">
      <c r="AA641" s="13">
        <f>Jul!G43</f>
        <v>0</v>
      </c>
    </row>
    <row r="642" spans="27:27" x14ac:dyDescent="0.25">
      <c r="AA642" s="13">
        <f>Jul!G44</f>
        <v>0</v>
      </c>
    </row>
    <row r="643" spans="27:27" x14ac:dyDescent="0.25">
      <c r="AA643" s="13">
        <f>Jul!G45</f>
        <v>0</v>
      </c>
    </row>
    <row r="644" spans="27:27" x14ac:dyDescent="0.25">
      <c r="AA644" s="13">
        <f>Jul!G46</f>
        <v>0</v>
      </c>
    </row>
    <row r="645" spans="27:27" x14ac:dyDescent="0.25">
      <c r="AA645" s="13">
        <f>Jul!G47</f>
        <v>0</v>
      </c>
    </row>
    <row r="646" spans="27:27" x14ac:dyDescent="0.25">
      <c r="AA646" s="13">
        <f>Jul!G48</f>
        <v>0</v>
      </c>
    </row>
    <row r="647" spans="27:27" x14ac:dyDescent="0.25">
      <c r="AA647" s="13">
        <f>Jul!G49</f>
        <v>0</v>
      </c>
    </row>
    <row r="648" spans="27:27" x14ac:dyDescent="0.25">
      <c r="AA648" s="13">
        <f>Jul!G50</f>
        <v>0</v>
      </c>
    </row>
    <row r="649" spans="27:27" x14ac:dyDescent="0.25">
      <c r="AA649" s="13">
        <f>Jul!G51</f>
        <v>0</v>
      </c>
    </row>
    <row r="650" spans="27:27" x14ac:dyDescent="0.25">
      <c r="AA650" s="13">
        <f>Jul!G52</f>
        <v>0</v>
      </c>
    </row>
    <row r="651" spans="27:27" x14ac:dyDescent="0.25">
      <c r="AA651" s="13">
        <f>Jul!G53</f>
        <v>0</v>
      </c>
    </row>
    <row r="652" spans="27:27" x14ac:dyDescent="0.25">
      <c r="AA652" s="13">
        <f>Jul!G54</f>
        <v>0</v>
      </c>
    </row>
    <row r="653" spans="27:27" x14ac:dyDescent="0.25">
      <c r="AA653" s="13">
        <f>Jul!G55</f>
        <v>0</v>
      </c>
    </row>
    <row r="654" spans="27:27" x14ac:dyDescent="0.25">
      <c r="AA654" s="13">
        <f>Jul!G56</f>
        <v>0</v>
      </c>
    </row>
    <row r="655" spans="27:27" x14ac:dyDescent="0.25">
      <c r="AA655" s="13">
        <f>Jul!G57</f>
        <v>0</v>
      </c>
    </row>
    <row r="656" spans="27:27" x14ac:dyDescent="0.25">
      <c r="AA656" s="13">
        <f>Jul!G58</f>
        <v>0</v>
      </c>
    </row>
    <row r="657" spans="27:27" x14ac:dyDescent="0.25">
      <c r="AA657" s="13">
        <f>Jul!G59</f>
        <v>0</v>
      </c>
    </row>
    <row r="658" spans="27:27" x14ac:dyDescent="0.25">
      <c r="AA658" s="13">
        <f>Jul!G60</f>
        <v>0</v>
      </c>
    </row>
    <row r="659" spans="27:27" x14ac:dyDescent="0.25">
      <c r="AA659" s="13">
        <f>Jul!G61</f>
        <v>0</v>
      </c>
    </row>
    <row r="660" spans="27:27" x14ac:dyDescent="0.25">
      <c r="AA660" s="13">
        <f>Jul!G62</f>
        <v>0</v>
      </c>
    </row>
    <row r="661" spans="27:27" x14ac:dyDescent="0.25">
      <c r="AA661" s="13">
        <f>Jul!G63</f>
        <v>0</v>
      </c>
    </row>
    <row r="662" spans="27:27" x14ac:dyDescent="0.25">
      <c r="AA662" s="13">
        <f>Jul!G64</f>
        <v>0</v>
      </c>
    </row>
    <row r="663" spans="27:27" x14ac:dyDescent="0.25">
      <c r="AA663" s="13">
        <f>Jul!G65</f>
        <v>0</v>
      </c>
    </row>
    <row r="664" spans="27:27" x14ac:dyDescent="0.25">
      <c r="AA664" s="13">
        <f>Jul!G66</f>
        <v>0</v>
      </c>
    </row>
    <row r="665" spans="27:27" x14ac:dyDescent="0.25">
      <c r="AA665" s="13">
        <f>Jul!G67</f>
        <v>0</v>
      </c>
    </row>
    <row r="666" spans="27:27" x14ac:dyDescent="0.25">
      <c r="AA666" s="13">
        <f>Jul!G68</f>
        <v>0</v>
      </c>
    </row>
    <row r="667" spans="27:27" x14ac:dyDescent="0.25">
      <c r="AA667" s="13">
        <f>Jul!G69</f>
        <v>0</v>
      </c>
    </row>
    <row r="668" spans="27:27" x14ac:dyDescent="0.25">
      <c r="AA668" s="13">
        <f>Jul!G70</f>
        <v>0</v>
      </c>
    </row>
    <row r="669" spans="27:27" x14ac:dyDescent="0.25">
      <c r="AA669" s="13">
        <f>Jul!G71</f>
        <v>0</v>
      </c>
    </row>
    <row r="670" spans="27:27" x14ac:dyDescent="0.25">
      <c r="AA670" s="13">
        <f>Jul!G72</f>
        <v>0</v>
      </c>
    </row>
    <row r="671" spans="27:27" x14ac:dyDescent="0.25">
      <c r="AA671" s="13">
        <f>Jul!G73</f>
        <v>0</v>
      </c>
    </row>
    <row r="672" spans="27:27" x14ac:dyDescent="0.25">
      <c r="AA672" s="13">
        <f>Jul!G74</f>
        <v>0</v>
      </c>
    </row>
    <row r="673" spans="27:27" x14ac:dyDescent="0.25">
      <c r="AA673" s="13">
        <f>Jul!G75</f>
        <v>0</v>
      </c>
    </row>
    <row r="674" spans="27:27" x14ac:dyDescent="0.25">
      <c r="AA674" s="13">
        <f>Jul!G76</f>
        <v>0</v>
      </c>
    </row>
    <row r="675" spans="27:27" x14ac:dyDescent="0.25">
      <c r="AA675" s="13">
        <f>Jul!G77</f>
        <v>0</v>
      </c>
    </row>
    <row r="676" spans="27:27" x14ac:dyDescent="0.25">
      <c r="AA676" s="13">
        <f>Jul!G78</f>
        <v>0</v>
      </c>
    </row>
    <row r="677" spans="27:27" x14ac:dyDescent="0.25">
      <c r="AA677" s="13">
        <f>Jul!G79</f>
        <v>0</v>
      </c>
    </row>
    <row r="678" spans="27:27" x14ac:dyDescent="0.25">
      <c r="AA678" s="13">
        <f>Jul!G80</f>
        <v>0</v>
      </c>
    </row>
    <row r="679" spans="27:27" x14ac:dyDescent="0.25">
      <c r="AA679" s="13">
        <f>Jul!G81</f>
        <v>0</v>
      </c>
    </row>
    <row r="680" spans="27:27" x14ac:dyDescent="0.25">
      <c r="AA680" s="13">
        <f>Jul!G82</f>
        <v>0</v>
      </c>
    </row>
    <row r="681" spans="27:27" x14ac:dyDescent="0.25">
      <c r="AA681" s="13">
        <f>Jul!G83</f>
        <v>0</v>
      </c>
    </row>
    <row r="682" spans="27:27" x14ac:dyDescent="0.25">
      <c r="AA682" s="13">
        <f>Jul!G84</f>
        <v>0</v>
      </c>
    </row>
    <row r="683" spans="27:27" x14ac:dyDescent="0.25">
      <c r="AA683" s="13">
        <f>Jul!G85</f>
        <v>0</v>
      </c>
    </row>
    <row r="684" spans="27:27" x14ac:dyDescent="0.25">
      <c r="AA684" s="13">
        <f>Jul!G86</f>
        <v>0</v>
      </c>
    </row>
    <row r="685" spans="27:27" x14ac:dyDescent="0.25">
      <c r="AA685" s="13">
        <f>Jul!G87</f>
        <v>0</v>
      </c>
    </row>
    <row r="686" spans="27:27" x14ac:dyDescent="0.25">
      <c r="AA686" s="13">
        <f>Jul!G88</f>
        <v>0</v>
      </c>
    </row>
    <row r="687" spans="27:27" x14ac:dyDescent="0.25">
      <c r="AA687" s="13">
        <f>Jul!G89</f>
        <v>0</v>
      </c>
    </row>
    <row r="688" spans="27:27" x14ac:dyDescent="0.25">
      <c r="AA688" s="13">
        <f>Jul!G90</f>
        <v>0</v>
      </c>
    </row>
    <row r="689" spans="27:27" x14ac:dyDescent="0.25">
      <c r="AA689" s="13">
        <f>Jul!G91</f>
        <v>0</v>
      </c>
    </row>
    <row r="690" spans="27:27" x14ac:dyDescent="0.25">
      <c r="AA690" s="13">
        <f>Jul!G92</f>
        <v>0</v>
      </c>
    </row>
    <row r="691" spans="27:27" x14ac:dyDescent="0.25">
      <c r="AA691" s="13">
        <f>Jul!G93</f>
        <v>0</v>
      </c>
    </row>
    <row r="692" spans="27:27" x14ac:dyDescent="0.25">
      <c r="AA692" s="13">
        <f>Jul!G94</f>
        <v>0</v>
      </c>
    </row>
    <row r="693" spans="27:27" x14ac:dyDescent="0.25">
      <c r="AA693" s="13">
        <f>Jul!G95</f>
        <v>0</v>
      </c>
    </row>
    <row r="694" spans="27:27" x14ac:dyDescent="0.25">
      <c r="AA694" s="13">
        <f>Jul!G96</f>
        <v>0</v>
      </c>
    </row>
    <row r="695" spans="27:27" x14ac:dyDescent="0.25">
      <c r="AA695" s="13">
        <f>Jul!G97</f>
        <v>0</v>
      </c>
    </row>
    <row r="696" spans="27:27" x14ac:dyDescent="0.25">
      <c r="AA696" s="13">
        <f>Jul!G98</f>
        <v>0</v>
      </c>
    </row>
    <row r="697" spans="27:27" x14ac:dyDescent="0.25">
      <c r="AA697" s="13">
        <f>Jul!G99</f>
        <v>0</v>
      </c>
    </row>
    <row r="699" spans="27:27" x14ac:dyDescent="0.25">
      <c r="AA699" s="13">
        <f>Aug!G2</f>
        <v>0</v>
      </c>
    </row>
    <row r="700" spans="27:27" x14ac:dyDescent="0.25">
      <c r="AA700" s="13">
        <f>Aug!G3</f>
        <v>0</v>
      </c>
    </row>
    <row r="701" spans="27:27" x14ac:dyDescent="0.25">
      <c r="AA701" s="13">
        <f>Aug!G4</f>
        <v>0</v>
      </c>
    </row>
    <row r="702" spans="27:27" x14ac:dyDescent="0.25">
      <c r="AA702" s="13">
        <f>Aug!G5</f>
        <v>0</v>
      </c>
    </row>
    <row r="703" spans="27:27" x14ac:dyDescent="0.25">
      <c r="AA703" s="13">
        <f>Aug!G6</f>
        <v>0</v>
      </c>
    </row>
    <row r="704" spans="27:27" x14ac:dyDescent="0.25">
      <c r="AA704" s="13">
        <f>Aug!G7</f>
        <v>0</v>
      </c>
    </row>
    <row r="705" spans="27:27" x14ac:dyDescent="0.25">
      <c r="AA705" s="13">
        <f>Aug!G8</f>
        <v>0</v>
      </c>
    </row>
    <row r="706" spans="27:27" x14ac:dyDescent="0.25">
      <c r="AA706" s="13">
        <f>Aug!G9</f>
        <v>0</v>
      </c>
    </row>
    <row r="707" spans="27:27" x14ac:dyDescent="0.25">
      <c r="AA707" s="13">
        <f>Aug!G10</f>
        <v>0</v>
      </c>
    </row>
    <row r="708" spans="27:27" x14ac:dyDescent="0.25">
      <c r="AA708" s="13">
        <f>Aug!G11</f>
        <v>0</v>
      </c>
    </row>
    <row r="709" spans="27:27" x14ac:dyDescent="0.25">
      <c r="AA709" s="13">
        <f>Aug!G12</f>
        <v>0</v>
      </c>
    </row>
    <row r="710" spans="27:27" x14ac:dyDescent="0.25">
      <c r="AA710" s="13">
        <f>Aug!G13</f>
        <v>0</v>
      </c>
    </row>
    <row r="711" spans="27:27" x14ac:dyDescent="0.25">
      <c r="AA711" s="13">
        <f>Aug!G14</f>
        <v>0</v>
      </c>
    </row>
    <row r="712" spans="27:27" x14ac:dyDescent="0.25">
      <c r="AA712" s="13">
        <f>Aug!G15</f>
        <v>0</v>
      </c>
    </row>
    <row r="713" spans="27:27" x14ac:dyDescent="0.25">
      <c r="AA713" s="13">
        <f>Aug!G16</f>
        <v>0</v>
      </c>
    </row>
    <row r="714" spans="27:27" x14ac:dyDescent="0.25">
      <c r="AA714" s="13">
        <f>Aug!G17</f>
        <v>0</v>
      </c>
    </row>
    <row r="715" spans="27:27" x14ac:dyDescent="0.25">
      <c r="AA715" s="13">
        <f>Aug!G18</f>
        <v>0</v>
      </c>
    </row>
    <row r="716" spans="27:27" x14ac:dyDescent="0.25">
      <c r="AA716" s="13">
        <f>Aug!G19</f>
        <v>0</v>
      </c>
    </row>
    <row r="717" spans="27:27" x14ac:dyDescent="0.25">
      <c r="AA717" s="13">
        <f>Aug!G20</f>
        <v>0</v>
      </c>
    </row>
    <row r="718" spans="27:27" x14ac:dyDescent="0.25">
      <c r="AA718" s="13">
        <f>Aug!G21</f>
        <v>0</v>
      </c>
    </row>
    <row r="719" spans="27:27" x14ac:dyDescent="0.25">
      <c r="AA719" s="13">
        <f>Aug!G22</f>
        <v>0</v>
      </c>
    </row>
    <row r="720" spans="27:27" x14ac:dyDescent="0.25">
      <c r="AA720" s="13">
        <f>Aug!G23</f>
        <v>0</v>
      </c>
    </row>
    <row r="721" spans="27:27" x14ac:dyDescent="0.25">
      <c r="AA721" s="13">
        <f>Aug!G24</f>
        <v>0</v>
      </c>
    </row>
    <row r="722" spans="27:27" x14ac:dyDescent="0.25">
      <c r="AA722" s="13">
        <f>Aug!G25</f>
        <v>0</v>
      </c>
    </row>
    <row r="723" spans="27:27" x14ac:dyDescent="0.25">
      <c r="AA723" s="13">
        <f>Aug!G26</f>
        <v>0</v>
      </c>
    </row>
    <row r="724" spans="27:27" x14ac:dyDescent="0.25">
      <c r="AA724" s="13">
        <f>Aug!G27</f>
        <v>0</v>
      </c>
    </row>
    <row r="725" spans="27:27" x14ac:dyDescent="0.25">
      <c r="AA725" s="13">
        <f>Aug!G28</f>
        <v>0</v>
      </c>
    </row>
    <row r="726" spans="27:27" x14ac:dyDescent="0.25">
      <c r="AA726" s="13">
        <f>Aug!G29</f>
        <v>0</v>
      </c>
    </row>
    <row r="727" spans="27:27" x14ac:dyDescent="0.25">
      <c r="AA727" s="13">
        <f>Aug!G30</f>
        <v>0</v>
      </c>
    </row>
    <row r="728" spans="27:27" x14ac:dyDescent="0.25">
      <c r="AA728" s="13">
        <f>Aug!G31</f>
        <v>0</v>
      </c>
    </row>
    <row r="729" spans="27:27" x14ac:dyDescent="0.25">
      <c r="AA729" s="13">
        <f>Aug!G32</f>
        <v>0</v>
      </c>
    </row>
    <row r="730" spans="27:27" x14ac:dyDescent="0.25">
      <c r="AA730" s="13">
        <f>Aug!G33</f>
        <v>0</v>
      </c>
    </row>
    <row r="731" spans="27:27" x14ac:dyDescent="0.25">
      <c r="AA731" s="13">
        <f>Aug!G34</f>
        <v>0</v>
      </c>
    </row>
    <row r="732" spans="27:27" x14ac:dyDescent="0.25">
      <c r="AA732" s="13">
        <f>Aug!G35</f>
        <v>0</v>
      </c>
    </row>
    <row r="733" spans="27:27" x14ac:dyDescent="0.25">
      <c r="AA733" s="13">
        <f>Aug!G36</f>
        <v>0</v>
      </c>
    </row>
    <row r="734" spans="27:27" x14ac:dyDescent="0.25">
      <c r="AA734" s="13">
        <f>Aug!G37</f>
        <v>0</v>
      </c>
    </row>
    <row r="735" spans="27:27" x14ac:dyDescent="0.25">
      <c r="AA735" s="13">
        <f>Aug!G38</f>
        <v>0</v>
      </c>
    </row>
    <row r="736" spans="27:27" x14ac:dyDescent="0.25">
      <c r="AA736" s="13">
        <f>Aug!G39</f>
        <v>0</v>
      </c>
    </row>
    <row r="737" spans="27:27" x14ac:dyDescent="0.25">
      <c r="AA737" s="13">
        <f>Aug!G40</f>
        <v>0</v>
      </c>
    </row>
    <row r="738" spans="27:27" x14ac:dyDescent="0.25">
      <c r="AA738" s="13">
        <f>Aug!G41</f>
        <v>0</v>
      </c>
    </row>
    <row r="739" spans="27:27" x14ac:dyDescent="0.25">
      <c r="AA739" s="13">
        <f>Aug!G42</f>
        <v>0</v>
      </c>
    </row>
    <row r="740" spans="27:27" x14ac:dyDescent="0.25">
      <c r="AA740" s="13">
        <f>Aug!G43</f>
        <v>0</v>
      </c>
    </row>
    <row r="741" spans="27:27" x14ac:dyDescent="0.25">
      <c r="AA741" s="13">
        <f>Aug!G44</f>
        <v>0</v>
      </c>
    </row>
    <row r="742" spans="27:27" x14ac:dyDescent="0.25">
      <c r="AA742" s="13">
        <f>Aug!G45</f>
        <v>0</v>
      </c>
    </row>
    <row r="743" spans="27:27" x14ac:dyDescent="0.25">
      <c r="AA743" s="13">
        <f>Aug!G46</f>
        <v>0</v>
      </c>
    </row>
    <row r="744" spans="27:27" x14ac:dyDescent="0.25">
      <c r="AA744" s="13">
        <f>Aug!G47</f>
        <v>0</v>
      </c>
    </row>
    <row r="745" spans="27:27" x14ac:dyDescent="0.25">
      <c r="AA745" s="13">
        <f>Aug!G48</f>
        <v>0</v>
      </c>
    </row>
    <row r="746" spans="27:27" x14ac:dyDescent="0.25">
      <c r="AA746" s="13">
        <f>Aug!G49</f>
        <v>0</v>
      </c>
    </row>
    <row r="747" spans="27:27" x14ac:dyDescent="0.25">
      <c r="AA747" s="13">
        <f>Aug!G50</f>
        <v>0</v>
      </c>
    </row>
    <row r="748" spans="27:27" x14ac:dyDescent="0.25">
      <c r="AA748" s="13">
        <f>Aug!G51</f>
        <v>0</v>
      </c>
    </row>
    <row r="749" spans="27:27" x14ac:dyDescent="0.25">
      <c r="AA749" s="13">
        <f>Aug!G52</f>
        <v>0</v>
      </c>
    </row>
    <row r="750" spans="27:27" x14ac:dyDescent="0.25">
      <c r="AA750" s="13">
        <f>Aug!G53</f>
        <v>0</v>
      </c>
    </row>
    <row r="751" spans="27:27" x14ac:dyDescent="0.25">
      <c r="AA751" s="13">
        <f>Aug!G54</f>
        <v>0</v>
      </c>
    </row>
    <row r="752" spans="27:27" x14ac:dyDescent="0.25">
      <c r="AA752" s="13">
        <f>Aug!G55</f>
        <v>0</v>
      </c>
    </row>
    <row r="753" spans="27:27" x14ac:dyDescent="0.25">
      <c r="AA753" s="13">
        <f>Aug!G56</f>
        <v>0</v>
      </c>
    </row>
    <row r="754" spans="27:27" x14ac:dyDescent="0.25">
      <c r="AA754" s="13">
        <f>Aug!G57</f>
        <v>0</v>
      </c>
    </row>
    <row r="755" spans="27:27" x14ac:dyDescent="0.25">
      <c r="AA755" s="13">
        <f>Aug!G58</f>
        <v>0</v>
      </c>
    </row>
    <row r="756" spans="27:27" x14ac:dyDescent="0.25">
      <c r="AA756" s="13">
        <f>Aug!G59</f>
        <v>0</v>
      </c>
    </row>
    <row r="757" spans="27:27" x14ac:dyDescent="0.25">
      <c r="AA757" s="13">
        <f>Aug!G60</f>
        <v>0</v>
      </c>
    </row>
    <row r="758" spans="27:27" x14ac:dyDescent="0.25">
      <c r="AA758" s="13">
        <f>Aug!G61</f>
        <v>0</v>
      </c>
    </row>
    <row r="759" spans="27:27" x14ac:dyDescent="0.25">
      <c r="AA759" s="13">
        <f>Aug!G62</f>
        <v>0</v>
      </c>
    </row>
    <row r="760" spans="27:27" x14ac:dyDescent="0.25">
      <c r="AA760" s="13">
        <f>Aug!G63</f>
        <v>0</v>
      </c>
    </row>
    <row r="761" spans="27:27" x14ac:dyDescent="0.25">
      <c r="AA761" s="13">
        <f>Aug!G64</f>
        <v>0</v>
      </c>
    </row>
    <row r="762" spans="27:27" x14ac:dyDescent="0.25">
      <c r="AA762" s="13">
        <f>Aug!G65</f>
        <v>0</v>
      </c>
    </row>
    <row r="763" spans="27:27" x14ac:dyDescent="0.25">
      <c r="AA763" s="13">
        <f>Aug!G66</f>
        <v>0</v>
      </c>
    </row>
    <row r="764" spans="27:27" x14ac:dyDescent="0.25">
      <c r="AA764" s="13">
        <f>Aug!G67</f>
        <v>0</v>
      </c>
    </row>
    <row r="765" spans="27:27" x14ac:dyDescent="0.25">
      <c r="AA765" s="13">
        <f>Aug!G68</f>
        <v>0</v>
      </c>
    </row>
    <row r="766" spans="27:27" x14ac:dyDescent="0.25">
      <c r="AA766" s="13">
        <f>Aug!G69</f>
        <v>0</v>
      </c>
    </row>
    <row r="767" spans="27:27" x14ac:dyDescent="0.25">
      <c r="AA767" s="13">
        <f>Aug!G70</f>
        <v>0</v>
      </c>
    </row>
    <row r="768" spans="27:27" x14ac:dyDescent="0.25">
      <c r="AA768" s="13">
        <f>Aug!G71</f>
        <v>0</v>
      </c>
    </row>
    <row r="769" spans="27:27" x14ac:dyDescent="0.25">
      <c r="AA769" s="13">
        <f>Aug!G72</f>
        <v>0</v>
      </c>
    </row>
    <row r="770" spans="27:27" x14ac:dyDescent="0.25">
      <c r="AA770" s="13">
        <f>Aug!G73</f>
        <v>0</v>
      </c>
    </row>
    <row r="771" spans="27:27" x14ac:dyDescent="0.25">
      <c r="AA771" s="13">
        <f>Aug!G74</f>
        <v>0</v>
      </c>
    </row>
    <row r="772" spans="27:27" x14ac:dyDescent="0.25">
      <c r="AA772" s="13">
        <f>Aug!G75</f>
        <v>0</v>
      </c>
    </row>
    <row r="773" spans="27:27" x14ac:dyDescent="0.25">
      <c r="AA773" s="13">
        <f>Aug!G76</f>
        <v>0</v>
      </c>
    </row>
    <row r="774" spans="27:27" x14ac:dyDescent="0.25">
      <c r="AA774" s="13">
        <f>Aug!G77</f>
        <v>0</v>
      </c>
    </row>
    <row r="775" spans="27:27" x14ac:dyDescent="0.25">
      <c r="AA775" s="13">
        <f>Aug!G78</f>
        <v>0</v>
      </c>
    </row>
    <row r="776" spans="27:27" x14ac:dyDescent="0.25">
      <c r="AA776" s="13">
        <f>Aug!G79</f>
        <v>0</v>
      </c>
    </row>
    <row r="777" spans="27:27" x14ac:dyDescent="0.25">
      <c r="AA777" s="13">
        <f>Aug!G80</f>
        <v>0</v>
      </c>
    </row>
    <row r="778" spans="27:27" x14ac:dyDescent="0.25">
      <c r="AA778" s="13">
        <f>Aug!G81</f>
        <v>0</v>
      </c>
    </row>
    <row r="779" spans="27:27" x14ac:dyDescent="0.25">
      <c r="AA779" s="13">
        <f>Aug!G82</f>
        <v>0</v>
      </c>
    </row>
    <row r="780" spans="27:27" x14ac:dyDescent="0.25">
      <c r="AA780" s="13">
        <f>Aug!G83</f>
        <v>0</v>
      </c>
    </row>
    <row r="781" spans="27:27" x14ac:dyDescent="0.25">
      <c r="AA781" s="13">
        <f>Aug!G84</f>
        <v>0</v>
      </c>
    </row>
    <row r="782" spans="27:27" x14ac:dyDescent="0.25">
      <c r="AA782" s="13">
        <f>Aug!G85</f>
        <v>0</v>
      </c>
    </row>
    <row r="783" spans="27:27" x14ac:dyDescent="0.25">
      <c r="AA783" s="13">
        <f>Aug!G86</f>
        <v>0</v>
      </c>
    </row>
    <row r="784" spans="27:27" x14ac:dyDescent="0.25">
      <c r="AA784" s="13">
        <f>Aug!G87</f>
        <v>0</v>
      </c>
    </row>
    <row r="785" spans="27:27" x14ac:dyDescent="0.25">
      <c r="AA785" s="13">
        <f>Aug!G88</f>
        <v>0</v>
      </c>
    </row>
    <row r="786" spans="27:27" x14ac:dyDescent="0.25">
      <c r="AA786" s="13">
        <f>Aug!G89</f>
        <v>0</v>
      </c>
    </row>
    <row r="787" spans="27:27" x14ac:dyDescent="0.25">
      <c r="AA787" s="13">
        <f>Aug!G90</f>
        <v>0</v>
      </c>
    </row>
    <row r="788" spans="27:27" x14ac:dyDescent="0.25">
      <c r="AA788" s="13">
        <f>Aug!G91</f>
        <v>0</v>
      </c>
    </row>
    <row r="789" spans="27:27" x14ac:dyDescent="0.25">
      <c r="AA789" s="13">
        <f>Aug!G92</f>
        <v>0</v>
      </c>
    </row>
    <row r="790" spans="27:27" x14ac:dyDescent="0.25">
      <c r="AA790" s="13">
        <f>Aug!G93</f>
        <v>0</v>
      </c>
    </row>
    <row r="791" spans="27:27" x14ac:dyDescent="0.25">
      <c r="AA791" s="13">
        <f>Aug!G94</f>
        <v>0</v>
      </c>
    </row>
    <row r="792" spans="27:27" x14ac:dyDescent="0.25">
      <c r="AA792" s="13">
        <f>Aug!G95</f>
        <v>0</v>
      </c>
    </row>
    <row r="793" spans="27:27" x14ac:dyDescent="0.25">
      <c r="AA793" s="13">
        <f>Aug!G96</f>
        <v>0</v>
      </c>
    </row>
    <row r="794" spans="27:27" x14ac:dyDescent="0.25">
      <c r="AA794" s="13">
        <f>Aug!G97</f>
        <v>0</v>
      </c>
    </row>
    <row r="795" spans="27:27" x14ac:dyDescent="0.25">
      <c r="AA795" s="13">
        <f>Aug!G98</f>
        <v>0</v>
      </c>
    </row>
    <row r="796" spans="27:27" x14ac:dyDescent="0.25">
      <c r="AA796" s="13">
        <f>Aug!G99</f>
        <v>0</v>
      </c>
    </row>
    <row r="797" spans="27:27" x14ac:dyDescent="0.25">
      <c r="AA797" s="13">
        <f>Aug!G100</f>
        <v>0</v>
      </c>
    </row>
    <row r="798" spans="27:27" x14ac:dyDescent="0.25">
      <c r="AA798" s="13">
        <f>Aug!G101</f>
        <v>0</v>
      </c>
    </row>
    <row r="800" spans="27:27" x14ac:dyDescent="0.25">
      <c r="AA800" s="13">
        <f>Sep!G2</f>
        <v>0</v>
      </c>
    </row>
    <row r="801" spans="27:27" x14ac:dyDescent="0.25">
      <c r="AA801" s="13">
        <f>Sep!G3</f>
        <v>0</v>
      </c>
    </row>
    <row r="802" spans="27:27" x14ac:dyDescent="0.25">
      <c r="AA802" s="13">
        <f>Sep!G4</f>
        <v>0</v>
      </c>
    </row>
    <row r="803" spans="27:27" x14ac:dyDescent="0.25">
      <c r="AA803" s="13">
        <f>Sep!G5</f>
        <v>0</v>
      </c>
    </row>
    <row r="804" spans="27:27" x14ac:dyDescent="0.25">
      <c r="AA804" s="13">
        <f>Sep!G6</f>
        <v>0</v>
      </c>
    </row>
    <row r="805" spans="27:27" x14ac:dyDescent="0.25">
      <c r="AA805" s="13">
        <f>Sep!G7</f>
        <v>0</v>
      </c>
    </row>
    <row r="806" spans="27:27" x14ac:dyDescent="0.25">
      <c r="AA806" s="13">
        <f>Sep!G8</f>
        <v>0</v>
      </c>
    </row>
    <row r="807" spans="27:27" x14ac:dyDescent="0.25">
      <c r="AA807" s="13">
        <f>Sep!G9</f>
        <v>0</v>
      </c>
    </row>
    <row r="808" spans="27:27" x14ac:dyDescent="0.25">
      <c r="AA808" s="13">
        <f>Sep!G10</f>
        <v>0</v>
      </c>
    </row>
    <row r="809" spans="27:27" x14ac:dyDescent="0.25">
      <c r="AA809" s="13">
        <f>Sep!G11</f>
        <v>0</v>
      </c>
    </row>
    <row r="810" spans="27:27" x14ac:dyDescent="0.25">
      <c r="AA810" s="13">
        <f>Sep!G12</f>
        <v>0</v>
      </c>
    </row>
    <row r="811" spans="27:27" x14ac:dyDescent="0.25">
      <c r="AA811" s="13">
        <f>Sep!G13</f>
        <v>0</v>
      </c>
    </row>
    <row r="812" spans="27:27" x14ac:dyDescent="0.25">
      <c r="AA812" s="13">
        <f>Sep!G14</f>
        <v>0</v>
      </c>
    </row>
    <row r="813" spans="27:27" x14ac:dyDescent="0.25">
      <c r="AA813" s="13">
        <f>Sep!G15</f>
        <v>0</v>
      </c>
    </row>
    <row r="814" spans="27:27" x14ac:dyDescent="0.25">
      <c r="AA814" s="13">
        <f>Sep!G16</f>
        <v>0</v>
      </c>
    </row>
    <row r="815" spans="27:27" x14ac:dyDescent="0.25">
      <c r="AA815" s="13">
        <f>Sep!G17</f>
        <v>0</v>
      </c>
    </row>
    <row r="816" spans="27:27" x14ac:dyDescent="0.25">
      <c r="AA816" s="13">
        <f>Sep!G18</f>
        <v>0</v>
      </c>
    </row>
    <row r="817" spans="27:27" x14ac:dyDescent="0.25">
      <c r="AA817" s="13">
        <f>Sep!G19</f>
        <v>0</v>
      </c>
    </row>
    <row r="818" spans="27:27" x14ac:dyDescent="0.25">
      <c r="AA818" s="13">
        <f>Sep!G20</f>
        <v>0</v>
      </c>
    </row>
    <row r="819" spans="27:27" x14ac:dyDescent="0.25">
      <c r="AA819" s="13">
        <f>Sep!G21</f>
        <v>0</v>
      </c>
    </row>
    <row r="820" spans="27:27" x14ac:dyDescent="0.25">
      <c r="AA820" s="13">
        <f>Sep!G22</f>
        <v>0</v>
      </c>
    </row>
    <row r="821" spans="27:27" x14ac:dyDescent="0.25">
      <c r="AA821" s="13">
        <f>Sep!G23</f>
        <v>0</v>
      </c>
    </row>
    <row r="822" spans="27:27" x14ac:dyDescent="0.25">
      <c r="AA822" s="13">
        <f>Sep!G24</f>
        <v>0</v>
      </c>
    </row>
    <row r="823" spans="27:27" x14ac:dyDescent="0.25">
      <c r="AA823" s="13">
        <f>Sep!G25</f>
        <v>0</v>
      </c>
    </row>
    <row r="824" spans="27:27" x14ac:dyDescent="0.25">
      <c r="AA824" s="13">
        <f>Sep!G26</f>
        <v>0</v>
      </c>
    </row>
    <row r="825" spans="27:27" x14ac:dyDescent="0.25">
      <c r="AA825" s="13">
        <f>Sep!G27</f>
        <v>0</v>
      </c>
    </row>
    <row r="826" spans="27:27" x14ac:dyDescent="0.25">
      <c r="AA826" s="13">
        <f>Sep!G28</f>
        <v>0</v>
      </c>
    </row>
    <row r="827" spans="27:27" x14ac:dyDescent="0.25">
      <c r="AA827" s="13">
        <f>Sep!G29</f>
        <v>0</v>
      </c>
    </row>
    <row r="828" spans="27:27" x14ac:dyDescent="0.25">
      <c r="AA828" s="13">
        <f>Sep!G30</f>
        <v>0</v>
      </c>
    </row>
    <row r="829" spans="27:27" x14ac:dyDescent="0.25">
      <c r="AA829" s="13">
        <f>Sep!G31</f>
        <v>0</v>
      </c>
    </row>
    <row r="830" spans="27:27" x14ac:dyDescent="0.25">
      <c r="AA830" s="13">
        <f>Sep!G32</f>
        <v>0</v>
      </c>
    </row>
    <row r="831" spans="27:27" x14ac:dyDescent="0.25">
      <c r="AA831" s="13">
        <f>Sep!G33</f>
        <v>0</v>
      </c>
    </row>
    <row r="832" spans="27:27" x14ac:dyDescent="0.25">
      <c r="AA832" s="13">
        <f>Sep!G34</f>
        <v>0</v>
      </c>
    </row>
    <row r="833" spans="27:27" x14ac:dyDescent="0.25">
      <c r="AA833" s="13">
        <f>Sep!G35</f>
        <v>0</v>
      </c>
    </row>
    <row r="834" spans="27:27" x14ac:dyDescent="0.25">
      <c r="AA834" s="13">
        <f>Sep!G36</f>
        <v>0</v>
      </c>
    </row>
    <row r="835" spans="27:27" x14ac:dyDescent="0.25">
      <c r="AA835" s="13">
        <f>Sep!G37</f>
        <v>0</v>
      </c>
    </row>
    <row r="836" spans="27:27" x14ac:dyDescent="0.25">
      <c r="AA836" s="13">
        <f>Sep!G38</f>
        <v>0</v>
      </c>
    </row>
    <row r="837" spans="27:27" x14ac:dyDescent="0.25">
      <c r="AA837" s="13">
        <f>Sep!G39</f>
        <v>0</v>
      </c>
    </row>
    <row r="838" spans="27:27" x14ac:dyDescent="0.25">
      <c r="AA838" s="13">
        <f>Sep!G40</f>
        <v>0</v>
      </c>
    </row>
    <row r="839" spans="27:27" x14ac:dyDescent="0.25">
      <c r="AA839" s="13">
        <f>Sep!G41</f>
        <v>0</v>
      </c>
    </row>
    <row r="840" spans="27:27" x14ac:dyDescent="0.25">
      <c r="AA840" s="13">
        <f>Sep!G42</f>
        <v>0</v>
      </c>
    </row>
    <row r="841" spans="27:27" x14ac:dyDescent="0.25">
      <c r="AA841" s="13">
        <f>Sep!G43</f>
        <v>0</v>
      </c>
    </row>
    <row r="842" spans="27:27" x14ac:dyDescent="0.25">
      <c r="AA842" s="13">
        <f>Sep!G44</f>
        <v>0</v>
      </c>
    </row>
    <row r="843" spans="27:27" x14ac:dyDescent="0.25">
      <c r="AA843" s="13">
        <f>Sep!G45</f>
        <v>0</v>
      </c>
    </row>
    <row r="844" spans="27:27" x14ac:dyDescent="0.25">
      <c r="AA844" s="13">
        <f>Sep!G46</f>
        <v>0</v>
      </c>
    </row>
    <row r="845" spans="27:27" x14ac:dyDescent="0.25">
      <c r="AA845" s="13">
        <f>Sep!G47</f>
        <v>0</v>
      </c>
    </row>
    <row r="846" spans="27:27" x14ac:dyDescent="0.25">
      <c r="AA846" s="13">
        <f>Sep!G48</f>
        <v>0</v>
      </c>
    </row>
    <row r="847" spans="27:27" x14ac:dyDescent="0.25">
      <c r="AA847" s="13">
        <f>Sep!G49</f>
        <v>0</v>
      </c>
    </row>
    <row r="848" spans="27:27" x14ac:dyDescent="0.25">
      <c r="AA848" s="13">
        <f>Sep!G50</f>
        <v>0</v>
      </c>
    </row>
    <row r="849" spans="27:27" x14ac:dyDescent="0.25">
      <c r="AA849" s="13">
        <f>Sep!G51</f>
        <v>0</v>
      </c>
    </row>
    <row r="850" spans="27:27" x14ac:dyDescent="0.25">
      <c r="AA850" s="13">
        <f>Sep!G52</f>
        <v>0</v>
      </c>
    </row>
    <row r="851" spans="27:27" x14ac:dyDescent="0.25">
      <c r="AA851" s="13">
        <f>Sep!G53</f>
        <v>0</v>
      </c>
    </row>
    <row r="852" spans="27:27" x14ac:dyDescent="0.25">
      <c r="AA852" s="13">
        <f>Sep!G54</f>
        <v>0</v>
      </c>
    </row>
    <row r="853" spans="27:27" x14ac:dyDescent="0.25">
      <c r="AA853" s="13">
        <f>Sep!G55</f>
        <v>0</v>
      </c>
    </row>
    <row r="854" spans="27:27" x14ac:dyDescent="0.25">
      <c r="AA854" s="13">
        <f>Sep!G56</f>
        <v>0</v>
      </c>
    </row>
    <row r="855" spans="27:27" x14ac:dyDescent="0.25">
      <c r="AA855" s="13">
        <f>Sep!G57</f>
        <v>0</v>
      </c>
    </row>
    <row r="856" spans="27:27" x14ac:dyDescent="0.25">
      <c r="AA856" s="13">
        <f>Sep!G58</f>
        <v>0</v>
      </c>
    </row>
    <row r="857" spans="27:27" x14ac:dyDescent="0.25">
      <c r="AA857" s="13">
        <f>Sep!G59</f>
        <v>0</v>
      </c>
    </row>
    <row r="858" spans="27:27" x14ac:dyDescent="0.25">
      <c r="AA858" s="13">
        <f>Sep!G60</f>
        <v>0</v>
      </c>
    </row>
    <row r="859" spans="27:27" x14ac:dyDescent="0.25">
      <c r="AA859" s="13">
        <f>Sep!G61</f>
        <v>0</v>
      </c>
    </row>
    <row r="860" spans="27:27" x14ac:dyDescent="0.25">
      <c r="AA860" s="13">
        <f>Sep!G62</f>
        <v>0</v>
      </c>
    </row>
    <row r="861" spans="27:27" x14ac:dyDescent="0.25">
      <c r="AA861" s="13">
        <f>Sep!G63</f>
        <v>0</v>
      </c>
    </row>
    <row r="862" spans="27:27" x14ac:dyDescent="0.25">
      <c r="AA862" s="13">
        <f>Sep!G64</f>
        <v>0</v>
      </c>
    </row>
    <row r="863" spans="27:27" x14ac:dyDescent="0.25">
      <c r="AA863" s="13">
        <f>Sep!G65</f>
        <v>0</v>
      </c>
    </row>
    <row r="864" spans="27:27" x14ac:dyDescent="0.25">
      <c r="AA864" s="13">
        <f>Sep!G66</f>
        <v>0</v>
      </c>
    </row>
    <row r="865" spans="27:27" x14ac:dyDescent="0.25">
      <c r="AA865" s="13">
        <f>Sep!G67</f>
        <v>0</v>
      </c>
    </row>
    <row r="866" spans="27:27" x14ac:dyDescent="0.25">
      <c r="AA866" s="13">
        <f>Sep!G68</f>
        <v>0</v>
      </c>
    </row>
    <row r="867" spans="27:27" x14ac:dyDescent="0.25">
      <c r="AA867" s="13">
        <f>Sep!G69</f>
        <v>0</v>
      </c>
    </row>
    <row r="868" spans="27:27" x14ac:dyDescent="0.25">
      <c r="AA868" s="13">
        <f>Sep!G70</f>
        <v>0</v>
      </c>
    </row>
    <row r="869" spans="27:27" x14ac:dyDescent="0.25">
      <c r="AA869" s="13">
        <f>Sep!G71</f>
        <v>0</v>
      </c>
    </row>
    <row r="870" spans="27:27" x14ac:dyDescent="0.25">
      <c r="AA870" s="13">
        <f>Sep!G72</f>
        <v>0</v>
      </c>
    </row>
    <row r="871" spans="27:27" x14ac:dyDescent="0.25">
      <c r="AA871" s="13">
        <f>Sep!G73</f>
        <v>0</v>
      </c>
    </row>
    <row r="872" spans="27:27" x14ac:dyDescent="0.25">
      <c r="AA872" s="13">
        <f>Sep!G74</f>
        <v>0</v>
      </c>
    </row>
    <row r="873" spans="27:27" x14ac:dyDescent="0.25">
      <c r="AA873" s="13">
        <f>Sep!G75</f>
        <v>0</v>
      </c>
    </row>
    <row r="874" spans="27:27" x14ac:dyDescent="0.25">
      <c r="AA874" s="13">
        <f>Sep!G76</f>
        <v>0</v>
      </c>
    </row>
    <row r="875" spans="27:27" x14ac:dyDescent="0.25">
      <c r="AA875" s="13">
        <f>Sep!G77</f>
        <v>0</v>
      </c>
    </row>
    <row r="876" spans="27:27" x14ac:dyDescent="0.25">
      <c r="AA876" s="13">
        <f>Sep!G78</f>
        <v>0</v>
      </c>
    </row>
    <row r="877" spans="27:27" x14ac:dyDescent="0.25">
      <c r="AA877" s="13">
        <f>Sep!G79</f>
        <v>0</v>
      </c>
    </row>
    <row r="878" spans="27:27" x14ac:dyDescent="0.25">
      <c r="AA878" s="13">
        <f>Sep!G80</f>
        <v>0</v>
      </c>
    </row>
    <row r="879" spans="27:27" x14ac:dyDescent="0.25">
      <c r="AA879" s="13">
        <f>Sep!G81</f>
        <v>0</v>
      </c>
    </row>
    <row r="880" spans="27:27" x14ac:dyDescent="0.25">
      <c r="AA880" s="13">
        <f>Sep!G82</f>
        <v>0</v>
      </c>
    </row>
    <row r="881" spans="27:27" x14ac:dyDescent="0.25">
      <c r="AA881" s="13">
        <f>Sep!G83</f>
        <v>0</v>
      </c>
    </row>
    <row r="882" spans="27:27" x14ac:dyDescent="0.25">
      <c r="AA882" s="13">
        <f>Sep!G84</f>
        <v>0</v>
      </c>
    </row>
    <row r="883" spans="27:27" x14ac:dyDescent="0.25">
      <c r="AA883" s="13">
        <f>Sep!G85</f>
        <v>0</v>
      </c>
    </row>
    <row r="884" spans="27:27" x14ac:dyDescent="0.25">
      <c r="AA884" s="13">
        <f>Sep!G86</f>
        <v>0</v>
      </c>
    </row>
    <row r="885" spans="27:27" x14ac:dyDescent="0.25">
      <c r="AA885" s="13">
        <f>Sep!G87</f>
        <v>0</v>
      </c>
    </row>
    <row r="886" spans="27:27" x14ac:dyDescent="0.25">
      <c r="AA886" s="13">
        <f>Sep!G88</f>
        <v>0</v>
      </c>
    </row>
    <row r="887" spans="27:27" x14ac:dyDescent="0.25">
      <c r="AA887" s="13">
        <f>Sep!G89</f>
        <v>0</v>
      </c>
    </row>
    <row r="888" spans="27:27" x14ac:dyDescent="0.25">
      <c r="AA888" s="13">
        <f>Sep!G90</f>
        <v>0</v>
      </c>
    </row>
    <row r="889" spans="27:27" x14ac:dyDescent="0.25">
      <c r="AA889" s="13">
        <f>Sep!G91</f>
        <v>0</v>
      </c>
    </row>
    <row r="890" spans="27:27" x14ac:dyDescent="0.25">
      <c r="AA890" s="13">
        <f>Sep!G92</f>
        <v>0</v>
      </c>
    </row>
    <row r="891" spans="27:27" x14ac:dyDescent="0.25">
      <c r="AA891" s="13">
        <f>Sep!G93</f>
        <v>0</v>
      </c>
    </row>
    <row r="892" spans="27:27" x14ac:dyDescent="0.25">
      <c r="AA892" s="13">
        <f>Sep!G94</f>
        <v>0</v>
      </c>
    </row>
    <row r="893" spans="27:27" x14ac:dyDescent="0.25">
      <c r="AA893" s="13">
        <f>Sep!G95</f>
        <v>0</v>
      </c>
    </row>
    <row r="894" spans="27:27" x14ac:dyDescent="0.25">
      <c r="AA894" s="13">
        <f>Sep!G96</f>
        <v>0</v>
      </c>
    </row>
    <row r="895" spans="27:27" x14ac:dyDescent="0.25">
      <c r="AA895" s="13">
        <f>Sep!G97</f>
        <v>0</v>
      </c>
    </row>
    <row r="896" spans="27:27" x14ac:dyDescent="0.25">
      <c r="AA896" s="13">
        <f>Sep!G98</f>
        <v>0</v>
      </c>
    </row>
    <row r="897" spans="27:27" x14ac:dyDescent="0.25">
      <c r="AA897" s="13">
        <f>Sep!G99</f>
        <v>0</v>
      </c>
    </row>
    <row r="898" spans="27:27" x14ac:dyDescent="0.25">
      <c r="AA898" s="13">
        <f>Sep!G100</f>
        <v>0</v>
      </c>
    </row>
    <row r="899" spans="27:27" x14ac:dyDescent="0.25">
      <c r="AA899" s="13">
        <f>Sep!G101</f>
        <v>0</v>
      </c>
    </row>
    <row r="901" spans="27:27" x14ac:dyDescent="0.25">
      <c r="AA901" s="13">
        <f>Oct!G2</f>
        <v>0</v>
      </c>
    </row>
    <row r="902" spans="27:27" x14ac:dyDescent="0.25">
      <c r="AA902" s="13">
        <f>Oct!G3</f>
        <v>0</v>
      </c>
    </row>
    <row r="903" spans="27:27" x14ac:dyDescent="0.25">
      <c r="AA903" s="13">
        <f>Oct!G4</f>
        <v>0</v>
      </c>
    </row>
    <row r="904" spans="27:27" x14ac:dyDescent="0.25">
      <c r="AA904" s="13">
        <f>Oct!G5</f>
        <v>0</v>
      </c>
    </row>
    <row r="905" spans="27:27" x14ac:dyDescent="0.25">
      <c r="AA905" s="13">
        <f>Oct!G6</f>
        <v>0</v>
      </c>
    </row>
    <row r="906" spans="27:27" x14ac:dyDescent="0.25">
      <c r="AA906" s="13">
        <f>Oct!G7</f>
        <v>0</v>
      </c>
    </row>
    <row r="907" spans="27:27" x14ac:dyDescent="0.25">
      <c r="AA907" s="13">
        <f>Oct!G8</f>
        <v>0</v>
      </c>
    </row>
    <row r="908" spans="27:27" x14ac:dyDescent="0.25">
      <c r="AA908" s="13">
        <f>Oct!G9</f>
        <v>0</v>
      </c>
    </row>
    <row r="909" spans="27:27" x14ac:dyDescent="0.25">
      <c r="AA909" s="13">
        <f>Oct!G10</f>
        <v>0</v>
      </c>
    </row>
    <row r="910" spans="27:27" x14ac:dyDescent="0.25">
      <c r="AA910" s="13">
        <f>Oct!G11</f>
        <v>0</v>
      </c>
    </row>
    <row r="911" spans="27:27" x14ac:dyDescent="0.25">
      <c r="AA911" s="13">
        <f>Oct!G12</f>
        <v>0</v>
      </c>
    </row>
    <row r="912" spans="27:27" x14ac:dyDescent="0.25">
      <c r="AA912" s="13">
        <f>Oct!G13</f>
        <v>0</v>
      </c>
    </row>
    <row r="913" spans="27:27" x14ac:dyDescent="0.25">
      <c r="AA913" s="13">
        <f>Oct!G14</f>
        <v>0</v>
      </c>
    </row>
    <row r="914" spans="27:27" x14ac:dyDescent="0.25">
      <c r="AA914" s="13">
        <f>Oct!G15</f>
        <v>0</v>
      </c>
    </row>
    <row r="915" spans="27:27" x14ac:dyDescent="0.25">
      <c r="AA915" s="13">
        <f>Oct!G16</f>
        <v>0</v>
      </c>
    </row>
    <row r="916" spans="27:27" x14ac:dyDescent="0.25">
      <c r="AA916" s="13">
        <f>Oct!G17</f>
        <v>0</v>
      </c>
    </row>
    <row r="917" spans="27:27" x14ac:dyDescent="0.25">
      <c r="AA917" s="13">
        <f>Oct!G18</f>
        <v>0</v>
      </c>
    </row>
    <row r="918" spans="27:27" x14ac:dyDescent="0.25">
      <c r="AA918" s="13">
        <f>Oct!G19</f>
        <v>0</v>
      </c>
    </row>
    <row r="919" spans="27:27" x14ac:dyDescent="0.25">
      <c r="AA919" s="13">
        <f>Oct!G20</f>
        <v>0</v>
      </c>
    </row>
    <row r="920" spans="27:27" x14ac:dyDescent="0.25">
      <c r="AA920" s="13">
        <f>Oct!G21</f>
        <v>0</v>
      </c>
    </row>
    <row r="921" spans="27:27" x14ac:dyDescent="0.25">
      <c r="AA921" s="13">
        <f>Oct!G22</f>
        <v>0</v>
      </c>
    </row>
    <row r="922" spans="27:27" x14ac:dyDescent="0.25">
      <c r="AA922" s="13">
        <f>Oct!G23</f>
        <v>0</v>
      </c>
    </row>
    <row r="923" spans="27:27" x14ac:dyDescent="0.25">
      <c r="AA923" s="13">
        <f>Oct!G24</f>
        <v>0</v>
      </c>
    </row>
    <row r="924" spans="27:27" x14ac:dyDescent="0.25">
      <c r="AA924" s="13">
        <f>Oct!G25</f>
        <v>0</v>
      </c>
    </row>
    <row r="925" spans="27:27" x14ac:dyDescent="0.25">
      <c r="AA925" s="13">
        <f>Oct!G26</f>
        <v>0</v>
      </c>
    </row>
    <row r="926" spans="27:27" x14ac:dyDescent="0.25">
      <c r="AA926" s="13">
        <f>Oct!G27</f>
        <v>0</v>
      </c>
    </row>
    <row r="927" spans="27:27" x14ac:dyDescent="0.25">
      <c r="AA927" s="13">
        <f>Oct!G28</f>
        <v>0</v>
      </c>
    </row>
    <row r="928" spans="27:27" x14ac:dyDescent="0.25">
      <c r="AA928" s="13">
        <f>Oct!G29</f>
        <v>0</v>
      </c>
    </row>
    <row r="929" spans="27:27" x14ac:dyDescent="0.25">
      <c r="AA929" s="13">
        <f>Oct!G30</f>
        <v>0</v>
      </c>
    </row>
    <row r="930" spans="27:27" x14ac:dyDescent="0.25">
      <c r="AA930" s="13">
        <f>Oct!G31</f>
        <v>0</v>
      </c>
    </row>
    <row r="931" spans="27:27" x14ac:dyDescent="0.25">
      <c r="AA931" s="13">
        <f>Oct!G32</f>
        <v>0</v>
      </c>
    </row>
    <row r="932" spans="27:27" x14ac:dyDescent="0.25">
      <c r="AA932" s="13">
        <f>Oct!G33</f>
        <v>0</v>
      </c>
    </row>
    <row r="933" spans="27:27" x14ac:dyDescent="0.25">
      <c r="AA933" s="13">
        <f>Oct!G34</f>
        <v>0</v>
      </c>
    </row>
    <row r="934" spans="27:27" x14ac:dyDescent="0.25">
      <c r="AA934" s="13">
        <f>Oct!G35</f>
        <v>0</v>
      </c>
    </row>
    <row r="935" spans="27:27" x14ac:dyDescent="0.25">
      <c r="AA935" s="13">
        <f>Oct!G36</f>
        <v>0</v>
      </c>
    </row>
    <row r="936" spans="27:27" x14ac:dyDescent="0.25">
      <c r="AA936" s="13">
        <f>Oct!G37</f>
        <v>0</v>
      </c>
    </row>
    <row r="937" spans="27:27" x14ac:dyDescent="0.25">
      <c r="AA937" s="13">
        <f>Oct!G38</f>
        <v>0</v>
      </c>
    </row>
    <row r="938" spans="27:27" x14ac:dyDescent="0.25">
      <c r="AA938" s="13">
        <f>Oct!G39</f>
        <v>0</v>
      </c>
    </row>
    <row r="939" spans="27:27" x14ac:dyDescent="0.25">
      <c r="AA939" s="13">
        <f>Oct!G40</f>
        <v>0</v>
      </c>
    </row>
    <row r="940" spans="27:27" x14ac:dyDescent="0.25">
      <c r="AA940" s="13">
        <f>Oct!G41</f>
        <v>0</v>
      </c>
    </row>
    <row r="941" spans="27:27" x14ac:dyDescent="0.25">
      <c r="AA941" s="13">
        <f>Oct!G42</f>
        <v>0</v>
      </c>
    </row>
    <row r="942" spans="27:27" x14ac:dyDescent="0.25">
      <c r="AA942" s="13">
        <f>Oct!G43</f>
        <v>0</v>
      </c>
    </row>
    <row r="943" spans="27:27" x14ac:dyDescent="0.25">
      <c r="AA943" s="13">
        <f>Oct!G44</f>
        <v>0</v>
      </c>
    </row>
    <row r="944" spans="27:27" x14ac:dyDescent="0.25">
      <c r="AA944" s="13">
        <f>Oct!G45</f>
        <v>0</v>
      </c>
    </row>
    <row r="945" spans="27:27" x14ac:dyDescent="0.25">
      <c r="AA945" s="13">
        <f>Oct!G46</f>
        <v>0</v>
      </c>
    </row>
    <row r="946" spans="27:27" x14ac:dyDescent="0.25">
      <c r="AA946" s="13">
        <f>Oct!G47</f>
        <v>0</v>
      </c>
    </row>
    <row r="947" spans="27:27" x14ac:dyDescent="0.25">
      <c r="AA947" s="13">
        <f>Oct!G48</f>
        <v>0</v>
      </c>
    </row>
    <row r="948" spans="27:27" x14ac:dyDescent="0.25">
      <c r="AA948" s="13">
        <f>Oct!G49</f>
        <v>0</v>
      </c>
    </row>
    <row r="949" spans="27:27" x14ac:dyDescent="0.25">
      <c r="AA949" s="13">
        <f>Oct!G50</f>
        <v>0</v>
      </c>
    </row>
    <row r="950" spans="27:27" x14ac:dyDescent="0.25">
      <c r="AA950" s="13">
        <f>Oct!G51</f>
        <v>0</v>
      </c>
    </row>
    <row r="951" spans="27:27" x14ac:dyDescent="0.25">
      <c r="AA951" s="13">
        <f>Oct!G52</f>
        <v>0</v>
      </c>
    </row>
    <row r="952" spans="27:27" x14ac:dyDescent="0.25">
      <c r="AA952" s="13">
        <f>Oct!G53</f>
        <v>0</v>
      </c>
    </row>
    <row r="953" spans="27:27" x14ac:dyDescent="0.25">
      <c r="AA953" s="13">
        <f>Oct!G54</f>
        <v>0</v>
      </c>
    </row>
    <row r="954" spans="27:27" x14ac:dyDescent="0.25">
      <c r="AA954" s="13">
        <f>Oct!G55</f>
        <v>0</v>
      </c>
    </row>
    <row r="955" spans="27:27" x14ac:dyDescent="0.25">
      <c r="AA955" s="13">
        <f>Oct!G56</f>
        <v>0</v>
      </c>
    </row>
    <row r="956" spans="27:27" x14ac:dyDescent="0.25">
      <c r="AA956" s="13">
        <f>Oct!G57</f>
        <v>0</v>
      </c>
    </row>
    <row r="957" spans="27:27" x14ac:dyDescent="0.25">
      <c r="AA957" s="13">
        <f>Oct!G58</f>
        <v>0</v>
      </c>
    </row>
    <row r="958" spans="27:27" x14ac:dyDescent="0.25">
      <c r="AA958" s="13">
        <f>Oct!G59</f>
        <v>0</v>
      </c>
    </row>
    <row r="959" spans="27:27" x14ac:dyDescent="0.25">
      <c r="AA959" s="13">
        <f>Oct!G60</f>
        <v>0</v>
      </c>
    </row>
    <row r="960" spans="27:27" x14ac:dyDescent="0.25">
      <c r="AA960" s="13">
        <f>Oct!G61</f>
        <v>0</v>
      </c>
    </row>
    <row r="961" spans="27:27" x14ac:dyDescent="0.25">
      <c r="AA961" s="13">
        <f>Oct!G62</f>
        <v>0</v>
      </c>
    </row>
    <row r="962" spans="27:27" x14ac:dyDescent="0.25">
      <c r="AA962" s="13">
        <f>Oct!G63</f>
        <v>0</v>
      </c>
    </row>
    <row r="963" spans="27:27" x14ac:dyDescent="0.25">
      <c r="AA963" s="13">
        <f>Oct!G64</f>
        <v>0</v>
      </c>
    </row>
    <row r="964" spans="27:27" x14ac:dyDescent="0.25">
      <c r="AA964" s="13">
        <f>Oct!G65</f>
        <v>0</v>
      </c>
    </row>
    <row r="965" spans="27:27" x14ac:dyDescent="0.25">
      <c r="AA965" s="13">
        <f>Oct!G66</f>
        <v>0</v>
      </c>
    </row>
    <row r="966" spans="27:27" x14ac:dyDescent="0.25">
      <c r="AA966" s="13">
        <f>Oct!G67</f>
        <v>0</v>
      </c>
    </row>
    <row r="967" spans="27:27" x14ac:dyDescent="0.25">
      <c r="AA967" s="13">
        <f>Oct!G68</f>
        <v>0</v>
      </c>
    </row>
    <row r="968" spans="27:27" x14ac:dyDescent="0.25">
      <c r="AA968" s="13">
        <f>Oct!G69</f>
        <v>0</v>
      </c>
    </row>
    <row r="969" spans="27:27" x14ac:dyDescent="0.25">
      <c r="AA969" s="13">
        <f>Oct!G70</f>
        <v>0</v>
      </c>
    </row>
    <row r="970" spans="27:27" x14ac:dyDescent="0.25">
      <c r="AA970" s="13">
        <f>Oct!G71</f>
        <v>0</v>
      </c>
    </row>
    <row r="971" spans="27:27" x14ac:dyDescent="0.25">
      <c r="AA971" s="13">
        <f>Oct!G72</f>
        <v>0</v>
      </c>
    </row>
    <row r="972" spans="27:27" x14ac:dyDescent="0.25">
      <c r="AA972" s="13">
        <f>Oct!G73</f>
        <v>0</v>
      </c>
    </row>
    <row r="973" spans="27:27" x14ac:dyDescent="0.25">
      <c r="AA973" s="13">
        <f>Oct!G74</f>
        <v>0</v>
      </c>
    </row>
    <row r="974" spans="27:27" x14ac:dyDescent="0.25">
      <c r="AA974" s="13">
        <f>Oct!G75</f>
        <v>0</v>
      </c>
    </row>
    <row r="975" spans="27:27" x14ac:dyDescent="0.25">
      <c r="AA975" s="13">
        <f>Oct!G76</f>
        <v>0</v>
      </c>
    </row>
    <row r="976" spans="27:27" x14ac:dyDescent="0.25">
      <c r="AA976" s="13">
        <f>Oct!G77</f>
        <v>0</v>
      </c>
    </row>
    <row r="977" spans="27:27" x14ac:dyDescent="0.25">
      <c r="AA977" s="13">
        <f>Oct!G78</f>
        <v>0</v>
      </c>
    </row>
    <row r="978" spans="27:27" x14ac:dyDescent="0.25">
      <c r="AA978" s="13">
        <f>Oct!G79</f>
        <v>0</v>
      </c>
    </row>
    <row r="979" spans="27:27" x14ac:dyDescent="0.25">
      <c r="AA979" s="13">
        <f>Oct!G80</f>
        <v>0</v>
      </c>
    </row>
    <row r="980" spans="27:27" x14ac:dyDescent="0.25">
      <c r="AA980" s="13">
        <f>Oct!G81</f>
        <v>0</v>
      </c>
    </row>
    <row r="981" spans="27:27" x14ac:dyDescent="0.25">
      <c r="AA981" s="13">
        <f>Oct!G82</f>
        <v>0</v>
      </c>
    </row>
    <row r="982" spans="27:27" x14ac:dyDescent="0.25">
      <c r="AA982" s="13">
        <f>Oct!G83</f>
        <v>0</v>
      </c>
    </row>
    <row r="983" spans="27:27" x14ac:dyDescent="0.25">
      <c r="AA983" s="13">
        <f>Oct!G84</f>
        <v>0</v>
      </c>
    </row>
    <row r="984" spans="27:27" x14ac:dyDescent="0.25">
      <c r="AA984" s="13">
        <f>Oct!G85</f>
        <v>0</v>
      </c>
    </row>
    <row r="985" spans="27:27" x14ac:dyDescent="0.25">
      <c r="AA985" s="13">
        <f>Oct!G86</f>
        <v>0</v>
      </c>
    </row>
    <row r="986" spans="27:27" x14ac:dyDescent="0.25">
      <c r="AA986" s="13">
        <f>Oct!G87</f>
        <v>0</v>
      </c>
    </row>
    <row r="987" spans="27:27" x14ac:dyDescent="0.25">
      <c r="AA987" s="13">
        <f>Oct!G88</f>
        <v>0</v>
      </c>
    </row>
    <row r="988" spans="27:27" x14ac:dyDescent="0.25">
      <c r="AA988" s="13">
        <f>Oct!G89</f>
        <v>0</v>
      </c>
    </row>
    <row r="989" spans="27:27" x14ac:dyDescent="0.25">
      <c r="AA989" s="13">
        <f>Oct!G90</f>
        <v>0</v>
      </c>
    </row>
    <row r="990" spans="27:27" x14ac:dyDescent="0.25">
      <c r="AA990" s="13">
        <f>Oct!G91</f>
        <v>0</v>
      </c>
    </row>
    <row r="991" spans="27:27" x14ac:dyDescent="0.25">
      <c r="AA991" s="13">
        <f>Oct!G92</f>
        <v>0</v>
      </c>
    </row>
    <row r="992" spans="27:27" x14ac:dyDescent="0.25">
      <c r="AA992" s="13">
        <f>Oct!G93</f>
        <v>0</v>
      </c>
    </row>
    <row r="993" spans="27:27" x14ac:dyDescent="0.25">
      <c r="AA993" s="13">
        <f>Oct!G94</f>
        <v>0</v>
      </c>
    </row>
    <row r="994" spans="27:27" x14ac:dyDescent="0.25">
      <c r="AA994" s="13">
        <f>Oct!G95</f>
        <v>0</v>
      </c>
    </row>
    <row r="995" spans="27:27" x14ac:dyDescent="0.25">
      <c r="AA995" s="13">
        <f>Oct!G96</f>
        <v>0</v>
      </c>
    </row>
    <row r="996" spans="27:27" x14ac:dyDescent="0.25">
      <c r="AA996" s="13">
        <f>Oct!G97</f>
        <v>0</v>
      </c>
    </row>
    <row r="997" spans="27:27" x14ac:dyDescent="0.25">
      <c r="AA997" s="13">
        <f>Oct!G98</f>
        <v>0</v>
      </c>
    </row>
    <row r="998" spans="27:27" x14ac:dyDescent="0.25">
      <c r="AA998" s="13">
        <f>Oct!G99</f>
        <v>0</v>
      </c>
    </row>
    <row r="999" spans="27:27" x14ac:dyDescent="0.25">
      <c r="AA999" s="13">
        <f>Oct!G100</f>
        <v>0</v>
      </c>
    </row>
    <row r="1000" spans="27:27" x14ac:dyDescent="0.25">
      <c r="AA1000" s="13">
        <f>Oct!G101</f>
        <v>0</v>
      </c>
    </row>
    <row r="1002" spans="27:27" x14ac:dyDescent="0.25">
      <c r="AA1002" s="13">
        <f>Nov!G2</f>
        <v>0</v>
      </c>
    </row>
    <row r="1003" spans="27:27" x14ac:dyDescent="0.25">
      <c r="AA1003" s="13">
        <f>Nov!G3</f>
        <v>0</v>
      </c>
    </row>
    <row r="1004" spans="27:27" x14ac:dyDescent="0.25">
      <c r="AA1004" s="13">
        <f>Nov!G4</f>
        <v>0</v>
      </c>
    </row>
    <row r="1005" spans="27:27" x14ac:dyDescent="0.25">
      <c r="AA1005" s="13">
        <f>Nov!G5</f>
        <v>0</v>
      </c>
    </row>
    <row r="1006" spans="27:27" x14ac:dyDescent="0.25">
      <c r="AA1006" s="13">
        <f>Nov!G6</f>
        <v>0</v>
      </c>
    </row>
    <row r="1007" spans="27:27" x14ac:dyDescent="0.25">
      <c r="AA1007" s="13">
        <f>Nov!G7</f>
        <v>0</v>
      </c>
    </row>
    <row r="1008" spans="27:27" x14ac:dyDescent="0.25">
      <c r="AA1008" s="13">
        <f>Nov!G8</f>
        <v>0</v>
      </c>
    </row>
    <row r="1009" spans="27:27" x14ac:dyDescent="0.25">
      <c r="AA1009" s="13">
        <f>Nov!G9</f>
        <v>0</v>
      </c>
    </row>
    <row r="1010" spans="27:27" x14ac:dyDescent="0.25">
      <c r="AA1010" s="13">
        <f>Nov!G10</f>
        <v>0</v>
      </c>
    </row>
    <row r="1011" spans="27:27" x14ac:dyDescent="0.25">
      <c r="AA1011" s="13">
        <f>Nov!G11</f>
        <v>0</v>
      </c>
    </row>
    <row r="1012" spans="27:27" x14ac:dyDescent="0.25">
      <c r="AA1012" s="13">
        <f>Nov!G12</f>
        <v>0</v>
      </c>
    </row>
    <row r="1013" spans="27:27" x14ac:dyDescent="0.25">
      <c r="AA1013" s="13">
        <f>Nov!G13</f>
        <v>0</v>
      </c>
    </row>
    <row r="1014" spans="27:27" x14ac:dyDescent="0.25">
      <c r="AA1014" s="13">
        <f>Nov!G14</f>
        <v>0</v>
      </c>
    </row>
    <row r="1015" spans="27:27" x14ac:dyDescent="0.25">
      <c r="AA1015" s="13">
        <f>Nov!G15</f>
        <v>0</v>
      </c>
    </row>
    <row r="1016" spans="27:27" x14ac:dyDescent="0.25">
      <c r="AA1016" s="13">
        <f>Nov!G16</f>
        <v>0</v>
      </c>
    </row>
    <row r="1017" spans="27:27" x14ac:dyDescent="0.25">
      <c r="AA1017" s="13">
        <f>Nov!G17</f>
        <v>0</v>
      </c>
    </row>
    <row r="1018" spans="27:27" x14ac:dyDescent="0.25">
      <c r="AA1018" s="13">
        <f>Nov!G18</f>
        <v>0</v>
      </c>
    </row>
    <row r="1019" spans="27:27" x14ac:dyDescent="0.25">
      <c r="AA1019" s="13">
        <f>Nov!G19</f>
        <v>0</v>
      </c>
    </row>
    <row r="1020" spans="27:27" x14ac:dyDescent="0.25">
      <c r="AA1020" s="13">
        <f>Nov!G20</f>
        <v>0</v>
      </c>
    </row>
    <row r="1021" spans="27:27" x14ac:dyDescent="0.25">
      <c r="AA1021" s="13">
        <f>Nov!G21</f>
        <v>0</v>
      </c>
    </row>
    <row r="1022" spans="27:27" x14ac:dyDescent="0.25">
      <c r="AA1022" s="13">
        <f>Nov!G22</f>
        <v>0</v>
      </c>
    </row>
    <row r="1023" spans="27:27" x14ac:dyDescent="0.25">
      <c r="AA1023" s="13">
        <f>Nov!G23</f>
        <v>0</v>
      </c>
    </row>
    <row r="1024" spans="27:27" x14ac:dyDescent="0.25">
      <c r="AA1024" s="13">
        <f>Nov!G24</f>
        <v>0</v>
      </c>
    </row>
    <row r="1025" spans="27:27" x14ac:dyDescent="0.25">
      <c r="AA1025" s="13">
        <f>Nov!G25</f>
        <v>0</v>
      </c>
    </row>
    <row r="1026" spans="27:27" x14ac:dyDescent="0.25">
      <c r="AA1026" s="13">
        <f>Nov!G26</f>
        <v>0</v>
      </c>
    </row>
    <row r="1027" spans="27:27" x14ac:dyDescent="0.25">
      <c r="AA1027" s="13">
        <f>Nov!G27</f>
        <v>0</v>
      </c>
    </row>
    <row r="1028" spans="27:27" x14ac:dyDescent="0.25">
      <c r="AA1028" s="13">
        <f>Nov!G28</f>
        <v>0</v>
      </c>
    </row>
    <row r="1029" spans="27:27" x14ac:dyDescent="0.25">
      <c r="AA1029" s="13">
        <f>Nov!G29</f>
        <v>0</v>
      </c>
    </row>
    <row r="1030" spans="27:27" x14ac:dyDescent="0.25">
      <c r="AA1030" s="13">
        <f>Nov!G30</f>
        <v>0</v>
      </c>
    </row>
    <row r="1031" spans="27:27" x14ac:dyDescent="0.25">
      <c r="AA1031" s="13">
        <f>Nov!G31</f>
        <v>0</v>
      </c>
    </row>
    <row r="1032" spans="27:27" x14ac:dyDescent="0.25">
      <c r="AA1032" s="13">
        <f>Nov!G32</f>
        <v>0</v>
      </c>
    </row>
    <row r="1033" spans="27:27" x14ac:dyDescent="0.25">
      <c r="AA1033" s="13">
        <f>Nov!G33</f>
        <v>0</v>
      </c>
    </row>
    <row r="1034" spans="27:27" x14ac:dyDescent="0.25">
      <c r="AA1034" s="13">
        <f>Nov!G34</f>
        <v>0</v>
      </c>
    </row>
    <row r="1035" spans="27:27" x14ac:dyDescent="0.25">
      <c r="AA1035" s="13">
        <f>Nov!G35</f>
        <v>0</v>
      </c>
    </row>
    <row r="1036" spans="27:27" x14ac:dyDescent="0.25">
      <c r="AA1036" s="13">
        <f>Nov!G36</f>
        <v>0</v>
      </c>
    </row>
    <row r="1037" spans="27:27" x14ac:dyDescent="0.25">
      <c r="AA1037" s="13">
        <f>Nov!G37</f>
        <v>0</v>
      </c>
    </row>
    <row r="1038" spans="27:27" x14ac:dyDescent="0.25">
      <c r="AA1038" s="13">
        <f>Nov!G38</f>
        <v>0</v>
      </c>
    </row>
    <row r="1039" spans="27:27" x14ac:dyDescent="0.25">
      <c r="AA1039" s="13">
        <f>Nov!G39</f>
        <v>0</v>
      </c>
    </row>
    <row r="1040" spans="27:27" x14ac:dyDescent="0.25">
      <c r="AA1040" s="13">
        <f>Nov!G40</f>
        <v>0</v>
      </c>
    </row>
    <row r="1041" spans="27:27" x14ac:dyDescent="0.25">
      <c r="AA1041" s="13">
        <f>Nov!G41</f>
        <v>0</v>
      </c>
    </row>
    <row r="1042" spans="27:27" x14ac:dyDescent="0.25">
      <c r="AA1042" s="13">
        <f>Nov!G42</f>
        <v>0</v>
      </c>
    </row>
    <row r="1043" spans="27:27" x14ac:dyDescent="0.25">
      <c r="AA1043" s="13">
        <f>Nov!G43</f>
        <v>0</v>
      </c>
    </row>
    <row r="1044" spans="27:27" x14ac:dyDescent="0.25">
      <c r="AA1044" s="13">
        <f>Nov!G44</f>
        <v>0</v>
      </c>
    </row>
    <row r="1045" spans="27:27" x14ac:dyDescent="0.25">
      <c r="AA1045" s="13">
        <f>Nov!G45</f>
        <v>0</v>
      </c>
    </row>
    <row r="1046" spans="27:27" x14ac:dyDescent="0.25">
      <c r="AA1046" s="13">
        <f>Nov!G46</f>
        <v>0</v>
      </c>
    </row>
    <row r="1047" spans="27:27" x14ac:dyDescent="0.25">
      <c r="AA1047" s="13">
        <f>Nov!G47</f>
        <v>0</v>
      </c>
    </row>
    <row r="1048" spans="27:27" x14ac:dyDescent="0.25">
      <c r="AA1048" s="13">
        <f>Nov!G48</f>
        <v>0</v>
      </c>
    </row>
    <row r="1049" spans="27:27" x14ac:dyDescent="0.25">
      <c r="AA1049" s="13">
        <f>Nov!G49</f>
        <v>0</v>
      </c>
    </row>
    <row r="1050" spans="27:27" x14ac:dyDescent="0.25">
      <c r="AA1050" s="13">
        <f>Nov!G50</f>
        <v>0</v>
      </c>
    </row>
    <row r="1051" spans="27:27" x14ac:dyDescent="0.25">
      <c r="AA1051" s="13">
        <f>Nov!G51</f>
        <v>0</v>
      </c>
    </row>
    <row r="1052" spans="27:27" x14ac:dyDescent="0.25">
      <c r="AA1052" s="13">
        <f>Nov!G52</f>
        <v>0</v>
      </c>
    </row>
    <row r="1053" spans="27:27" x14ac:dyDescent="0.25">
      <c r="AA1053" s="13">
        <f>Nov!G53</f>
        <v>0</v>
      </c>
    </row>
    <row r="1054" spans="27:27" x14ac:dyDescent="0.25">
      <c r="AA1054" s="13">
        <f>Nov!G54</f>
        <v>0</v>
      </c>
    </row>
    <row r="1055" spans="27:27" x14ac:dyDescent="0.25">
      <c r="AA1055" s="13">
        <f>Nov!G55</f>
        <v>0</v>
      </c>
    </row>
    <row r="1056" spans="27:27" x14ac:dyDescent="0.25">
      <c r="AA1056" s="13">
        <f>Nov!G56</f>
        <v>0</v>
      </c>
    </row>
    <row r="1057" spans="27:27" x14ac:dyDescent="0.25">
      <c r="AA1057" s="13">
        <f>Nov!G57</f>
        <v>0</v>
      </c>
    </row>
    <row r="1058" spans="27:27" x14ac:dyDescent="0.25">
      <c r="AA1058" s="13">
        <f>Nov!G58</f>
        <v>0</v>
      </c>
    </row>
    <row r="1059" spans="27:27" x14ac:dyDescent="0.25">
      <c r="AA1059" s="13">
        <f>Nov!G59</f>
        <v>0</v>
      </c>
    </row>
    <row r="1060" spans="27:27" x14ac:dyDescent="0.25">
      <c r="AA1060" s="13">
        <f>Nov!G60</f>
        <v>0</v>
      </c>
    </row>
    <row r="1061" spans="27:27" x14ac:dyDescent="0.25">
      <c r="AA1061" s="13">
        <f>Nov!G61</f>
        <v>0</v>
      </c>
    </row>
    <row r="1062" spans="27:27" x14ac:dyDescent="0.25">
      <c r="AA1062" s="13">
        <f>Nov!G62</f>
        <v>0</v>
      </c>
    </row>
    <row r="1063" spans="27:27" x14ac:dyDescent="0.25">
      <c r="AA1063" s="13">
        <f>Nov!G63</f>
        <v>0</v>
      </c>
    </row>
    <row r="1064" spans="27:27" x14ac:dyDescent="0.25">
      <c r="AA1064" s="13">
        <f>Nov!G64</f>
        <v>0</v>
      </c>
    </row>
    <row r="1065" spans="27:27" x14ac:dyDescent="0.25">
      <c r="AA1065" s="13">
        <f>Nov!G65</f>
        <v>0</v>
      </c>
    </row>
    <row r="1066" spans="27:27" x14ac:dyDescent="0.25">
      <c r="AA1066" s="13">
        <f>Nov!G66</f>
        <v>0</v>
      </c>
    </row>
    <row r="1067" spans="27:27" x14ac:dyDescent="0.25">
      <c r="AA1067" s="13">
        <f>Nov!G67</f>
        <v>0</v>
      </c>
    </row>
    <row r="1068" spans="27:27" x14ac:dyDescent="0.25">
      <c r="AA1068" s="13">
        <f>Nov!G68</f>
        <v>0</v>
      </c>
    </row>
    <row r="1069" spans="27:27" x14ac:dyDescent="0.25">
      <c r="AA1069" s="13">
        <f>Nov!G69</f>
        <v>0</v>
      </c>
    </row>
    <row r="1070" spans="27:27" x14ac:dyDescent="0.25">
      <c r="AA1070" s="13">
        <f>Nov!G70</f>
        <v>0</v>
      </c>
    </row>
    <row r="1071" spans="27:27" x14ac:dyDescent="0.25">
      <c r="AA1071" s="13">
        <f>Nov!G71</f>
        <v>0</v>
      </c>
    </row>
    <row r="1072" spans="27:27" x14ac:dyDescent="0.25">
      <c r="AA1072" s="13">
        <f>Nov!G72</f>
        <v>0</v>
      </c>
    </row>
    <row r="1073" spans="27:27" x14ac:dyDescent="0.25">
      <c r="AA1073" s="13">
        <f>Nov!G73</f>
        <v>0</v>
      </c>
    </row>
    <row r="1074" spans="27:27" x14ac:dyDescent="0.25">
      <c r="AA1074" s="13">
        <f>Nov!G74</f>
        <v>0</v>
      </c>
    </row>
    <row r="1075" spans="27:27" x14ac:dyDescent="0.25">
      <c r="AA1075" s="13">
        <f>Nov!G75</f>
        <v>0</v>
      </c>
    </row>
    <row r="1076" spans="27:27" x14ac:dyDescent="0.25">
      <c r="AA1076" s="13">
        <f>Nov!G76</f>
        <v>0</v>
      </c>
    </row>
    <row r="1077" spans="27:27" x14ac:dyDescent="0.25">
      <c r="AA1077" s="13">
        <f>Nov!G77</f>
        <v>0</v>
      </c>
    </row>
    <row r="1078" spans="27:27" x14ac:dyDescent="0.25">
      <c r="AA1078" s="13">
        <f>Nov!G78</f>
        <v>0</v>
      </c>
    </row>
    <row r="1079" spans="27:27" x14ac:dyDescent="0.25">
      <c r="AA1079" s="13">
        <f>Nov!G79</f>
        <v>0</v>
      </c>
    </row>
    <row r="1080" spans="27:27" x14ac:dyDescent="0.25">
      <c r="AA1080" s="13">
        <f>Nov!G80</f>
        <v>0</v>
      </c>
    </row>
    <row r="1081" spans="27:27" x14ac:dyDescent="0.25">
      <c r="AA1081" s="13">
        <f>Nov!G81</f>
        <v>0</v>
      </c>
    </row>
    <row r="1082" spans="27:27" x14ac:dyDescent="0.25">
      <c r="AA1082" s="13">
        <f>Nov!G82</f>
        <v>0</v>
      </c>
    </row>
    <row r="1083" spans="27:27" x14ac:dyDescent="0.25">
      <c r="AA1083" s="13">
        <f>Nov!G83</f>
        <v>0</v>
      </c>
    </row>
    <row r="1084" spans="27:27" x14ac:dyDescent="0.25">
      <c r="AA1084" s="13">
        <f>Nov!G84</f>
        <v>0</v>
      </c>
    </row>
    <row r="1085" spans="27:27" x14ac:dyDescent="0.25">
      <c r="AA1085" s="13">
        <f>Nov!G85</f>
        <v>0</v>
      </c>
    </row>
    <row r="1086" spans="27:27" x14ac:dyDescent="0.25">
      <c r="AA1086" s="13">
        <f>Nov!G86</f>
        <v>0</v>
      </c>
    </row>
    <row r="1087" spans="27:27" x14ac:dyDescent="0.25">
      <c r="AA1087" s="13">
        <f>Nov!G87</f>
        <v>0</v>
      </c>
    </row>
    <row r="1088" spans="27:27" x14ac:dyDescent="0.25">
      <c r="AA1088" s="13">
        <f>Nov!G88</f>
        <v>0</v>
      </c>
    </row>
    <row r="1089" spans="27:27" x14ac:dyDescent="0.25">
      <c r="AA1089" s="13">
        <f>Nov!G89</f>
        <v>0</v>
      </c>
    </row>
    <row r="1090" spans="27:27" x14ac:dyDescent="0.25">
      <c r="AA1090" s="13">
        <f>Nov!G90</f>
        <v>0</v>
      </c>
    </row>
    <row r="1091" spans="27:27" x14ac:dyDescent="0.25">
      <c r="AA1091" s="13">
        <f>Nov!G91</f>
        <v>0</v>
      </c>
    </row>
    <row r="1092" spans="27:27" x14ac:dyDescent="0.25">
      <c r="AA1092" s="13">
        <f>Nov!G92</f>
        <v>0</v>
      </c>
    </row>
    <row r="1093" spans="27:27" x14ac:dyDescent="0.25">
      <c r="AA1093" s="13">
        <f>Nov!G93</f>
        <v>0</v>
      </c>
    </row>
    <row r="1094" spans="27:27" x14ac:dyDescent="0.25">
      <c r="AA1094" s="13">
        <f>Nov!G94</f>
        <v>0</v>
      </c>
    </row>
    <row r="1095" spans="27:27" x14ac:dyDescent="0.25">
      <c r="AA1095" s="13">
        <f>Nov!G95</f>
        <v>0</v>
      </c>
    </row>
    <row r="1096" spans="27:27" x14ac:dyDescent="0.25">
      <c r="AA1096" s="13">
        <f>Nov!G96</f>
        <v>0</v>
      </c>
    </row>
    <row r="1097" spans="27:27" x14ac:dyDescent="0.25">
      <c r="AA1097" s="13">
        <f>Nov!G97</f>
        <v>0</v>
      </c>
    </row>
    <row r="1098" spans="27:27" x14ac:dyDescent="0.25">
      <c r="AA1098" s="13">
        <f>Nov!G98</f>
        <v>0</v>
      </c>
    </row>
    <row r="1099" spans="27:27" x14ac:dyDescent="0.25">
      <c r="AA1099" s="13">
        <f>Nov!G99</f>
        <v>0</v>
      </c>
    </row>
    <row r="1100" spans="27:27" x14ac:dyDescent="0.25">
      <c r="AA1100" s="13">
        <f>Nov!G100</f>
        <v>0</v>
      </c>
    </row>
    <row r="1101" spans="27:27" x14ac:dyDescent="0.25">
      <c r="AA1101" s="13">
        <f>Nov!G101</f>
        <v>0</v>
      </c>
    </row>
    <row r="1103" spans="27:27" x14ac:dyDescent="0.25">
      <c r="AA1103" s="13">
        <f>Dec!G2</f>
        <v>0</v>
      </c>
    </row>
    <row r="1104" spans="27:27" x14ac:dyDescent="0.25">
      <c r="AA1104" s="13">
        <f>Dec!G3</f>
        <v>0</v>
      </c>
    </row>
    <row r="1105" spans="27:27" x14ac:dyDescent="0.25">
      <c r="AA1105" s="13">
        <f>Dec!G4</f>
        <v>0</v>
      </c>
    </row>
    <row r="1106" spans="27:27" x14ac:dyDescent="0.25">
      <c r="AA1106" s="13">
        <f>Dec!G5</f>
        <v>0</v>
      </c>
    </row>
    <row r="1107" spans="27:27" x14ac:dyDescent="0.25">
      <c r="AA1107" s="13">
        <f>Dec!G6</f>
        <v>0</v>
      </c>
    </row>
    <row r="1108" spans="27:27" x14ac:dyDescent="0.25">
      <c r="AA1108" s="13">
        <f>Dec!G7</f>
        <v>0</v>
      </c>
    </row>
    <row r="1109" spans="27:27" x14ac:dyDescent="0.25">
      <c r="AA1109" s="13">
        <f>Dec!G8</f>
        <v>0</v>
      </c>
    </row>
    <row r="1110" spans="27:27" x14ac:dyDescent="0.25">
      <c r="AA1110" s="13">
        <f>Dec!G9</f>
        <v>0</v>
      </c>
    </row>
    <row r="1111" spans="27:27" x14ac:dyDescent="0.25">
      <c r="AA1111" s="13">
        <f>Dec!G10</f>
        <v>0</v>
      </c>
    </row>
    <row r="1112" spans="27:27" x14ac:dyDescent="0.25">
      <c r="AA1112" s="13">
        <f>Dec!G11</f>
        <v>0</v>
      </c>
    </row>
    <row r="1113" spans="27:27" x14ac:dyDescent="0.25">
      <c r="AA1113" s="13">
        <f>Dec!G12</f>
        <v>0</v>
      </c>
    </row>
    <row r="1114" spans="27:27" x14ac:dyDescent="0.25">
      <c r="AA1114" s="13">
        <f>Dec!G13</f>
        <v>0</v>
      </c>
    </row>
    <row r="1115" spans="27:27" x14ac:dyDescent="0.25">
      <c r="AA1115" s="13">
        <f>Dec!G14</f>
        <v>0</v>
      </c>
    </row>
    <row r="1116" spans="27:27" x14ac:dyDescent="0.25">
      <c r="AA1116" s="13">
        <f>Dec!G15</f>
        <v>0</v>
      </c>
    </row>
    <row r="1117" spans="27:27" x14ac:dyDescent="0.25">
      <c r="AA1117" s="13">
        <f>Dec!G16</f>
        <v>0</v>
      </c>
    </row>
    <row r="1118" spans="27:27" x14ac:dyDescent="0.25">
      <c r="AA1118" s="13">
        <f>Dec!G17</f>
        <v>0</v>
      </c>
    </row>
    <row r="1119" spans="27:27" x14ac:dyDescent="0.25">
      <c r="AA1119" s="13">
        <f>Dec!G18</f>
        <v>0</v>
      </c>
    </row>
    <row r="1120" spans="27:27" x14ac:dyDescent="0.25">
      <c r="AA1120" s="13">
        <f>Dec!G19</f>
        <v>0</v>
      </c>
    </row>
    <row r="1121" spans="27:27" x14ac:dyDescent="0.25">
      <c r="AA1121" s="13">
        <f>Dec!G20</f>
        <v>0</v>
      </c>
    </row>
    <row r="1122" spans="27:27" x14ac:dyDescent="0.25">
      <c r="AA1122" s="13">
        <f>Dec!G21</f>
        <v>0</v>
      </c>
    </row>
    <row r="1123" spans="27:27" x14ac:dyDescent="0.25">
      <c r="AA1123" s="13">
        <f>Dec!G22</f>
        <v>0</v>
      </c>
    </row>
    <row r="1124" spans="27:27" x14ac:dyDescent="0.25">
      <c r="AA1124" s="13">
        <f>Dec!G23</f>
        <v>0</v>
      </c>
    </row>
    <row r="1125" spans="27:27" x14ac:dyDescent="0.25">
      <c r="AA1125" s="13">
        <f>Dec!G24</f>
        <v>0</v>
      </c>
    </row>
    <row r="1126" spans="27:27" x14ac:dyDescent="0.25">
      <c r="AA1126" s="13">
        <f>Dec!G25</f>
        <v>0</v>
      </c>
    </row>
    <row r="1127" spans="27:27" x14ac:dyDescent="0.25">
      <c r="AA1127" s="13">
        <f>Dec!G26</f>
        <v>0</v>
      </c>
    </row>
    <row r="1128" spans="27:27" x14ac:dyDescent="0.25">
      <c r="AA1128" s="13">
        <f>Dec!G27</f>
        <v>0</v>
      </c>
    </row>
    <row r="1129" spans="27:27" x14ac:dyDescent="0.25">
      <c r="AA1129" s="13">
        <f>Dec!G28</f>
        <v>0</v>
      </c>
    </row>
    <row r="1130" spans="27:27" x14ac:dyDescent="0.25">
      <c r="AA1130" s="13">
        <f>Dec!G29</f>
        <v>0</v>
      </c>
    </row>
    <row r="1131" spans="27:27" x14ac:dyDescent="0.25">
      <c r="AA1131" s="13">
        <f>Dec!G30</f>
        <v>0</v>
      </c>
    </row>
    <row r="1132" spans="27:27" x14ac:dyDescent="0.25">
      <c r="AA1132" s="13">
        <f>Dec!G31</f>
        <v>0</v>
      </c>
    </row>
    <row r="1133" spans="27:27" x14ac:dyDescent="0.25">
      <c r="AA1133" s="13">
        <f>Dec!G32</f>
        <v>0</v>
      </c>
    </row>
    <row r="1134" spans="27:27" x14ac:dyDescent="0.25">
      <c r="AA1134" s="13">
        <f>Dec!G33</f>
        <v>0</v>
      </c>
    </row>
    <row r="1135" spans="27:27" x14ac:dyDescent="0.25">
      <c r="AA1135" s="13">
        <f>Dec!G34</f>
        <v>0</v>
      </c>
    </row>
    <row r="1136" spans="27:27" x14ac:dyDescent="0.25">
      <c r="AA1136" s="13">
        <f>Dec!G35</f>
        <v>0</v>
      </c>
    </row>
    <row r="1137" spans="27:27" x14ac:dyDescent="0.25">
      <c r="AA1137" s="13">
        <f>Dec!G36</f>
        <v>0</v>
      </c>
    </row>
    <row r="1138" spans="27:27" x14ac:dyDescent="0.25">
      <c r="AA1138" s="13">
        <f>Dec!G37</f>
        <v>0</v>
      </c>
    </row>
    <row r="1139" spans="27:27" x14ac:dyDescent="0.25">
      <c r="AA1139" s="13">
        <f>Dec!G38</f>
        <v>0</v>
      </c>
    </row>
    <row r="1140" spans="27:27" x14ac:dyDescent="0.25">
      <c r="AA1140" s="13">
        <f>Dec!G39</f>
        <v>0</v>
      </c>
    </row>
    <row r="1141" spans="27:27" x14ac:dyDescent="0.25">
      <c r="AA1141" s="13">
        <f>Dec!G40</f>
        <v>0</v>
      </c>
    </row>
    <row r="1142" spans="27:27" x14ac:dyDescent="0.25">
      <c r="AA1142" s="13">
        <f>Dec!G41</f>
        <v>0</v>
      </c>
    </row>
    <row r="1143" spans="27:27" x14ac:dyDescent="0.25">
      <c r="AA1143" s="13">
        <f>Dec!G42</f>
        <v>0</v>
      </c>
    </row>
    <row r="1144" spans="27:27" x14ac:dyDescent="0.25">
      <c r="AA1144" s="13">
        <f>Dec!G43</f>
        <v>0</v>
      </c>
    </row>
    <row r="1145" spans="27:27" x14ac:dyDescent="0.25">
      <c r="AA1145" s="13">
        <f>Dec!G44</f>
        <v>0</v>
      </c>
    </row>
    <row r="1146" spans="27:27" x14ac:dyDescent="0.25">
      <c r="AA1146" s="13">
        <f>Dec!G45</f>
        <v>0</v>
      </c>
    </row>
    <row r="1147" spans="27:27" x14ac:dyDescent="0.25">
      <c r="AA1147" s="13">
        <f>Dec!G46</f>
        <v>0</v>
      </c>
    </row>
    <row r="1148" spans="27:27" x14ac:dyDescent="0.25">
      <c r="AA1148" s="13">
        <f>Dec!G47</f>
        <v>0</v>
      </c>
    </row>
    <row r="1149" spans="27:27" x14ac:dyDescent="0.25">
      <c r="AA1149" s="13">
        <f>Dec!G48</f>
        <v>0</v>
      </c>
    </row>
    <row r="1150" spans="27:27" x14ac:dyDescent="0.25">
      <c r="AA1150" s="13">
        <f>Dec!G49</f>
        <v>0</v>
      </c>
    </row>
    <row r="1151" spans="27:27" x14ac:dyDescent="0.25">
      <c r="AA1151" s="13">
        <f>Dec!G50</f>
        <v>0</v>
      </c>
    </row>
    <row r="1152" spans="27:27" x14ac:dyDescent="0.25">
      <c r="AA1152" s="13">
        <f>Dec!G51</f>
        <v>0</v>
      </c>
    </row>
    <row r="1153" spans="27:27" x14ac:dyDescent="0.25">
      <c r="AA1153" s="13">
        <f>Dec!G52</f>
        <v>0</v>
      </c>
    </row>
    <row r="1154" spans="27:27" x14ac:dyDescent="0.25">
      <c r="AA1154" s="13">
        <f>Dec!G53</f>
        <v>0</v>
      </c>
    </row>
    <row r="1155" spans="27:27" x14ac:dyDescent="0.25">
      <c r="AA1155" s="13">
        <f>Dec!G54</f>
        <v>0</v>
      </c>
    </row>
    <row r="1156" spans="27:27" x14ac:dyDescent="0.25">
      <c r="AA1156" s="13">
        <f>Dec!G55</f>
        <v>0</v>
      </c>
    </row>
    <row r="1157" spans="27:27" x14ac:dyDescent="0.25">
      <c r="AA1157" s="13">
        <f>Dec!G56</f>
        <v>0</v>
      </c>
    </row>
    <row r="1158" spans="27:27" x14ac:dyDescent="0.25">
      <c r="AA1158" s="13">
        <f>Dec!G57</f>
        <v>0</v>
      </c>
    </row>
    <row r="1159" spans="27:27" x14ac:dyDescent="0.25">
      <c r="AA1159" s="13">
        <f>Dec!G58</f>
        <v>0</v>
      </c>
    </row>
    <row r="1160" spans="27:27" x14ac:dyDescent="0.25">
      <c r="AA1160" s="13">
        <f>Dec!G59</f>
        <v>0</v>
      </c>
    </row>
    <row r="1161" spans="27:27" x14ac:dyDescent="0.25">
      <c r="AA1161" s="13">
        <f>Dec!G60</f>
        <v>0</v>
      </c>
    </row>
    <row r="1162" spans="27:27" x14ac:dyDescent="0.25">
      <c r="AA1162" s="13">
        <f>Dec!G61</f>
        <v>0</v>
      </c>
    </row>
    <row r="1163" spans="27:27" x14ac:dyDescent="0.25">
      <c r="AA1163" s="13">
        <f>Dec!G62</f>
        <v>0</v>
      </c>
    </row>
    <row r="1164" spans="27:27" x14ac:dyDescent="0.25">
      <c r="AA1164" s="13">
        <f>Dec!G57</f>
        <v>0</v>
      </c>
    </row>
    <row r="1165" spans="27:27" x14ac:dyDescent="0.25">
      <c r="AA1165" s="13">
        <f>Dec!G58</f>
        <v>0</v>
      </c>
    </row>
    <row r="1166" spans="27:27" x14ac:dyDescent="0.25">
      <c r="AA1166" s="13">
        <f>Dec!G59</f>
        <v>0</v>
      </c>
    </row>
    <row r="1167" spans="27:27" x14ac:dyDescent="0.25">
      <c r="AA1167" s="13">
        <f>Dec!G60</f>
        <v>0</v>
      </c>
    </row>
    <row r="1168" spans="27:27" x14ac:dyDescent="0.25">
      <c r="AA1168" s="13">
        <f>Dec!G61</f>
        <v>0</v>
      </c>
    </row>
    <row r="1169" spans="27:27" x14ac:dyDescent="0.25">
      <c r="AA1169" s="13">
        <f>Dec!G62</f>
        <v>0</v>
      </c>
    </row>
    <row r="1170" spans="27:27" x14ac:dyDescent="0.25">
      <c r="AA1170" s="13">
        <f>Dec!G63</f>
        <v>0</v>
      </c>
    </row>
    <row r="1171" spans="27:27" x14ac:dyDescent="0.25">
      <c r="AA1171" s="13">
        <f>Dec!G64</f>
        <v>0</v>
      </c>
    </row>
    <row r="1172" spans="27:27" x14ac:dyDescent="0.25">
      <c r="AA1172" s="13">
        <f>Dec!G65</f>
        <v>0</v>
      </c>
    </row>
    <row r="1173" spans="27:27" x14ac:dyDescent="0.25">
      <c r="AA1173" s="13">
        <f>Dec!G66</f>
        <v>0</v>
      </c>
    </row>
    <row r="1174" spans="27:27" x14ac:dyDescent="0.25">
      <c r="AA1174" s="13">
        <f>Dec!G67</f>
        <v>0</v>
      </c>
    </row>
    <row r="1175" spans="27:27" x14ac:dyDescent="0.25">
      <c r="AA1175" s="13">
        <f>Dec!G68</f>
        <v>0</v>
      </c>
    </row>
    <row r="1176" spans="27:27" x14ac:dyDescent="0.25">
      <c r="AA1176" s="13">
        <f>Dec!G69</f>
        <v>0</v>
      </c>
    </row>
    <row r="1177" spans="27:27" x14ac:dyDescent="0.25">
      <c r="AA1177" s="13">
        <f>Dec!G70</f>
        <v>0</v>
      </c>
    </row>
    <row r="1178" spans="27:27" x14ac:dyDescent="0.25">
      <c r="AA1178" s="13">
        <f>Dec!G71</f>
        <v>0</v>
      </c>
    </row>
    <row r="1179" spans="27:27" x14ac:dyDescent="0.25">
      <c r="AA1179" s="13">
        <f>Dec!G72</f>
        <v>0</v>
      </c>
    </row>
    <row r="1180" spans="27:27" x14ac:dyDescent="0.25">
      <c r="AA1180" s="13">
        <f>Dec!G73</f>
        <v>0</v>
      </c>
    </row>
    <row r="1181" spans="27:27" x14ac:dyDescent="0.25">
      <c r="AA1181" s="13">
        <f>Dec!G74</f>
        <v>0</v>
      </c>
    </row>
    <row r="1182" spans="27:27" x14ac:dyDescent="0.25">
      <c r="AA1182" s="13">
        <f>Dec!G75</f>
        <v>0</v>
      </c>
    </row>
    <row r="1183" spans="27:27" x14ac:dyDescent="0.25">
      <c r="AA1183" s="13">
        <f>Dec!G76</f>
        <v>0</v>
      </c>
    </row>
    <row r="1184" spans="27:27" x14ac:dyDescent="0.25">
      <c r="AA1184" s="13">
        <f>Dec!G77</f>
        <v>0</v>
      </c>
    </row>
    <row r="1185" spans="27:27" x14ac:dyDescent="0.25">
      <c r="AA1185" s="13">
        <f>Dec!G78</f>
        <v>0</v>
      </c>
    </row>
    <row r="1186" spans="27:27" x14ac:dyDescent="0.25">
      <c r="AA1186" s="13">
        <f>Dec!G79</f>
        <v>0</v>
      </c>
    </row>
    <row r="1187" spans="27:27" x14ac:dyDescent="0.25">
      <c r="AA1187" s="13">
        <f>Dec!G80</f>
        <v>0</v>
      </c>
    </row>
    <row r="1188" spans="27:27" x14ac:dyDescent="0.25">
      <c r="AA1188" s="13">
        <f>Dec!G81</f>
        <v>0</v>
      </c>
    </row>
    <row r="1189" spans="27:27" x14ac:dyDescent="0.25">
      <c r="AA1189" s="13">
        <f>Dec!G82</f>
        <v>0</v>
      </c>
    </row>
    <row r="1190" spans="27:27" x14ac:dyDescent="0.25">
      <c r="AA1190" s="13">
        <f>Dec!G83</f>
        <v>0</v>
      </c>
    </row>
    <row r="1191" spans="27:27" x14ac:dyDescent="0.25">
      <c r="AA1191" s="13">
        <f>Dec!G84</f>
        <v>0</v>
      </c>
    </row>
    <row r="1192" spans="27:27" x14ac:dyDescent="0.25">
      <c r="AA1192" s="13">
        <f>Dec!G85</f>
        <v>0</v>
      </c>
    </row>
    <row r="1193" spans="27:27" x14ac:dyDescent="0.25">
      <c r="AA1193" s="13">
        <f>Dec!G86</f>
        <v>0</v>
      </c>
    </row>
    <row r="1194" spans="27:27" x14ac:dyDescent="0.25">
      <c r="AA1194" s="13">
        <f>Dec!G87</f>
        <v>0</v>
      </c>
    </row>
    <row r="1195" spans="27:27" x14ac:dyDescent="0.25">
      <c r="AA1195" s="13">
        <f>Dec!G88</f>
        <v>0</v>
      </c>
    </row>
    <row r="1196" spans="27:27" x14ac:dyDescent="0.25">
      <c r="AA1196" s="13">
        <f>Dec!G89</f>
        <v>0</v>
      </c>
    </row>
    <row r="1197" spans="27:27" x14ac:dyDescent="0.25">
      <c r="AA1197" s="13">
        <f>Dec!G90</f>
        <v>0</v>
      </c>
    </row>
    <row r="1198" spans="27:27" x14ac:dyDescent="0.25">
      <c r="AA1198" s="13">
        <f>Dec!G91</f>
        <v>0</v>
      </c>
    </row>
    <row r="1199" spans="27:27" x14ac:dyDescent="0.25">
      <c r="AA1199" s="13">
        <f>Dec!G92</f>
        <v>0</v>
      </c>
    </row>
    <row r="1200" spans="27:27" x14ac:dyDescent="0.25">
      <c r="AA1200" s="13">
        <f>Dec!G93</f>
        <v>0</v>
      </c>
    </row>
    <row r="1201" spans="27:27" x14ac:dyDescent="0.25">
      <c r="AA1201" s="13">
        <f>Dec!G94</f>
        <v>0</v>
      </c>
    </row>
    <row r="1202" spans="27:27" x14ac:dyDescent="0.25">
      <c r="AA1202" s="13">
        <f>Dec!G95</f>
        <v>0</v>
      </c>
    </row>
  </sheetData>
  <mergeCells count="5">
    <mergeCell ref="D1:F1"/>
    <mergeCell ref="G1:I1"/>
    <mergeCell ref="A1:A2"/>
    <mergeCell ref="B1:B2"/>
    <mergeCell ref="C1:C2"/>
  </mergeCells>
  <conditionalFormatting sqref="A19:M19 A20:A168 B20:M300">
    <cfRule type="cellIs" dxfId="37" priority="1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D52B-C04A-4A26-A747-720C96A95EAF}">
  <dimension ref="A1:O151"/>
  <sheetViews>
    <sheetView workbookViewId="0">
      <selection activeCell="A2" sqref="A2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2" t="s">
        <v>4</v>
      </c>
      <c r="F1" s="2"/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Summary'!A3</f>
        <v>45292</v>
      </c>
      <c r="E2" s="3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E3" s="3"/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3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3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3"/>
      <c r="H6" s="4">
        <f t="shared" si="0"/>
        <v>0</v>
      </c>
    </row>
    <row r="7" spans="1:15" x14ac:dyDescent="0.25">
      <c r="E7" s="3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3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3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E10" s="3"/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E11" s="3"/>
      <c r="H11" s="4">
        <f t="shared" si="0"/>
        <v>0</v>
      </c>
    </row>
    <row r="12" spans="1:15" x14ac:dyDescent="0.25">
      <c r="E12" s="3"/>
      <c r="H12" s="4">
        <f t="shared" si="0"/>
        <v>0</v>
      </c>
      <c r="N12" s="2" t="s">
        <v>15</v>
      </c>
    </row>
    <row r="13" spans="1:15" x14ac:dyDescent="0.25">
      <c r="E13" s="3"/>
      <c r="H13" s="4">
        <f t="shared" si="0"/>
        <v>0</v>
      </c>
      <c r="N13" s="9">
        <f>SUM(E2:E1000)</f>
        <v>0</v>
      </c>
    </row>
    <row r="14" spans="1:15" x14ac:dyDescent="0.25">
      <c r="E14" s="3"/>
      <c r="H14" s="4">
        <f t="shared" si="0"/>
        <v>0</v>
      </c>
    </row>
    <row r="15" spans="1:15" x14ac:dyDescent="0.25">
      <c r="E15" s="3"/>
      <c r="H15" s="4">
        <f t="shared" si="0"/>
        <v>0</v>
      </c>
    </row>
    <row r="16" spans="1:15" x14ac:dyDescent="0.25">
      <c r="E16" s="3"/>
      <c r="H16" s="4">
        <f t="shared" si="0"/>
        <v>0</v>
      </c>
    </row>
    <row r="17" spans="5:8" x14ac:dyDescent="0.25">
      <c r="E17" s="3"/>
      <c r="H17" s="4">
        <f t="shared" si="0"/>
        <v>0</v>
      </c>
    </row>
    <row r="18" spans="5:8" x14ac:dyDescent="0.25">
      <c r="E18" s="3"/>
      <c r="H18" s="4">
        <f t="shared" si="0"/>
        <v>0</v>
      </c>
    </row>
    <row r="19" spans="5:8" x14ac:dyDescent="0.25">
      <c r="E19" s="3"/>
      <c r="H19" s="4">
        <f t="shared" si="0"/>
        <v>0</v>
      </c>
    </row>
    <row r="20" spans="5:8" x14ac:dyDescent="0.25">
      <c r="E20" s="3"/>
      <c r="H20" s="4">
        <f t="shared" si="0"/>
        <v>0</v>
      </c>
    </row>
    <row r="21" spans="5:8" x14ac:dyDescent="0.25">
      <c r="E21" s="3"/>
      <c r="H21" s="4">
        <f t="shared" si="0"/>
        <v>0</v>
      </c>
    </row>
    <row r="22" spans="5:8" x14ac:dyDescent="0.25">
      <c r="E22" s="3"/>
      <c r="H22" s="4">
        <f t="shared" si="0"/>
        <v>0</v>
      </c>
    </row>
    <row r="23" spans="5:8" x14ac:dyDescent="0.25">
      <c r="E23" s="3"/>
      <c r="H23" s="4">
        <f t="shared" si="0"/>
        <v>0</v>
      </c>
    </row>
    <row r="24" spans="5:8" x14ac:dyDescent="0.25">
      <c r="E24" s="3"/>
      <c r="H24" s="4">
        <f t="shared" si="0"/>
        <v>0</v>
      </c>
    </row>
    <row r="25" spans="5:8" x14ac:dyDescent="0.25">
      <c r="E25" s="3"/>
      <c r="H25" s="4">
        <f t="shared" si="0"/>
        <v>0</v>
      </c>
    </row>
    <row r="26" spans="5:8" x14ac:dyDescent="0.25">
      <c r="E26" s="3"/>
      <c r="H26" s="4">
        <f t="shared" si="0"/>
        <v>0</v>
      </c>
    </row>
    <row r="27" spans="5:8" x14ac:dyDescent="0.25">
      <c r="E27" s="3"/>
      <c r="H27" s="4">
        <f t="shared" si="0"/>
        <v>0</v>
      </c>
    </row>
    <row r="28" spans="5:8" x14ac:dyDescent="0.25">
      <c r="E28" s="3"/>
      <c r="H28" s="4">
        <f t="shared" si="0"/>
        <v>0</v>
      </c>
    </row>
    <row r="29" spans="5:8" x14ac:dyDescent="0.25">
      <c r="E29" s="3"/>
      <c r="H29" s="4">
        <f t="shared" si="0"/>
        <v>0</v>
      </c>
    </row>
    <row r="30" spans="5:8" x14ac:dyDescent="0.25">
      <c r="E30" s="3"/>
      <c r="H30" s="4">
        <f t="shared" si="0"/>
        <v>0</v>
      </c>
    </row>
    <row r="31" spans="5:8" x14ac:dyDescent="0.25">
      <c r="E31" s="3"/>
      <c r="H31" s="4">
        <f t="shared" si="0"/>
        <v>0</v>
      </c>
    </row>
    <row r="32" spans="5:8" x14ac:dyDescent="0.25">
      <c r="E32" s="3"/>
      <c r="H32" s="4">
        <f t="shared" si="0"/>
        <v>0</v>
      </c>
    </row>
    <row r="33" spans="5:8" x14ac:dyDescent="0.25">
      <c r="E33" s="3"/>
      <c r="H33" s="4">
        <f t="shared" si="0"/>
        <v>0</v>
      </c>
    </row>
    <row r="34" spans="5:8" x14ac:dyDescent="0.25">
      <c r="E34" s="3"/>
      <c r="H34" s="4">
        <f t="shared" si="0"/>
        <v>0</v>
      </c>
    </row>
    <row r="35" spans="5:8" x14ac:dyDescent="0.25">
      <c r="E35" s="3"/>
      <c r="H35" s="4">
        <f t="shared" si="0"/>
        <v>0</v>
      </c>
    </row>
    <row r="36" spans="5:8" x14ac:dyDescent="0.25">
      <c r="E36" s="3"/>
      <c r="H36" s="4">
        <f t="shared" si="0"/>
        <v>0</v>
      </c>
    </row>
    <row r="37" spans="5:8" x14ac:dyDescent="0.25">
      <c r="E37" s="3"/>
      <c r="H37" s="4">
        <f t="shared" si="0"/>
        <v>0</v>
      </c>
    </row>
    <row r="38" spans="5:8" x14ac:dyDescent="0.25">
      <c r="E38" s="3"/>
      <c r="H38" s="4">
        <f t="shared" si="0"/>
        <v>0</v>
      </c>
    </row>
    <row r="39" spans="5:8" x14ac:dyDescent="0.25">
      <c r="E39" s="4"/>
      <c r="H39" s="4">
        <f t="shared" si="0"/>
        <v>0</v>
      </c>
    </row>
    <row r="40" spans="5:8" x14ac:dyDescent="0.25">
      <c r="E40" s="4"/>
      <c r="H40" s="4">
        <f t="shared" si="0"/>
        <v>0</v>
      </c>
    </row>
    <row r="41" spans="5:8" x14ac:dyDescent="0.25">
      <c r="E41" s="4"/>
      <c r="H41" s="4">
        <f t="shared" si="0"/>
        <v>0</v>
      </c>
    </row>
    <row r="42" spans="5:8" x14ac:dyDescent="0.25">
      <c r="E42" s="4"/>
      <c r="H42" s="4">
        <f t="shared" si="0"/>
        <v>0</v>
      </c>
    </row>
    <row r="43" spans="5:8" x14ac:dyDescent="0.25">
      <c r="E43" s="4"/>
      <c r="H43" s="4">
        <f t="shared" si="0"/>
        <v>0</v>
      </c>
    </row>
    <row r="44" spans="5:8" x14ac:dyDescent="0.25">
      <c r="E44" s="4"/>
      <c r="H44" s="4">
        <f t="shared" si="0"/>
        <v>0</v>
      </c>
    </row>
    <row r="45" spans="5:8" x14ac:dyDescent="0.25">
      <c r="E45" s="4"/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E47" s="4"/>
      <c r="H47" s="4">
        <f t="shared" si="0"/>
        <v>0</v>
      </c>
    </row>
    <row r="48" spans="5:8" x14ac:dyDescent="0.25">
      <c r="E48" s="4"/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3:8" x14ac:dyDescent="0.25">
      <c r="E97" s="4"/>
      <c r="H97" s="4">
        <f t="shared" si="1"/>
        <v>0</v>
      </c>
    </row>
    <row r="98" spans="3:8" x14ac:dyDescent="0.25">
      <c r="E98" s="4"/>
      <c r="H98" s="4">
        <f t="shared" si="1"/>
        <v>0</v>
      </c>
    </row>
    <row r="99" spans="3:8" x14ac:dyDescent="0.25">
      <c r="E99" s="4"/>
      <c r="H99" s="4">
        <f t="shared" si="1"/>
        <v>0</v>
      </c>
    </row>
    <row r="100" spans="3:8" x14ac:dyDescent="0.25">
      <c r="E100" s="4"/>
      <c r="H100" s="4">
        <f t="shared" si="1"/>
        <v>0</v>
      </c>
    </row>
    <row r="101" spans="3:8" x14ac:dyDescent="0.25">
      <c r="C101" s="11"/>
      <c r="E101" s="4"/>
      <c r="H101" s="4">
        <f t="shared" si="1"/>
        <v>0</v>
      </c>
    </row>
    <row r="102" spans="3:8" x14ac:dyDescent="0.25">
      <c r="C102" s="11"/>
      <c r="E102" s="4"/>
      <c r="H102" s="4">
        <f t="shared" si="1"/>
        <v>0</v>
      </c>
    </row>
    <row r="103" spans="3:8" x14ac:dyDescent="0.25">
      <c r="E103" s="4"/>
      <c r="H103" s="4">
        <f t="shared" si="1"/>
        <v>0</v>
      </c>
    </row>
    <row r="104" spans="3:8" x14ac:dyDescent="0.25">
      <c r="E104" s="4"/>
      <c r="H104" s="4">
        <f t="shared" si="1"/>
        <v>0</v>
      </c>
    </row>
    <row r="105" spans="3:8" x14ac:dyDescent="0.25">
      <c r="E105" s="4"/>
      <c r="H105" s="4">
        <f t="shared" si="1"/>
        <v>0</v>
      </c>
    </row>
    <row r="106" spans="3:8" x14ac:dyDescent="0.25">
      <c r="H106" s="4">
        <f t="shared" si="1"/>
        <v>0</v>
      </c>
    </row>
    <row r="107" spans="3:8" x14ac:dyDescent="0.25">
      <c r="H107" s="4">
        <f t="shared" si="1"/>
        <v>0</v>
      </c>
    </row>
    <row r="108" spans="3:8" x14ac:dyDescent="0.25">
      <c r="H108" s="4">
        <f t="shared" si="1"/>
        <v>0</v>
      </c>
    </row>
    <row r="109" spans="3:8" x14ac:dyDescent="0.25">
      <c r="H109" s="4">
        <f t="shared" si="1"/>
        <v>0</v>
      </c>
    </row>
    <row r="110" spans="3:8" x14ac:dyDescent="0.25">
      <c r="H110" s="4">
        <f t="shared" si="1"/>
        <v>0</v>
      </c>
    </row>
    <row r="111" spans="3:8" x14ac:dyDescent="0.25">
      <c r="H111" s="4">
        <f t="shared" si="1"/>
        <v>0</v>
      </c>
    </row>
    <row r="112" spans="3:8" x14ac:dyDescent="0.25">
      <c r="H112" s="4">
        <f t="shared" si="1"/>
        <v>0</v>
      </c>
    </row>
    <row r="113" spans="8:8" x14ac:dyDescent="0.25">
      <c r="H113" s="4">
        <f t="shared" si="1"/>
        <v>0</v>
      </c>
    </row>
    <row r="114" spans="8:8" x14ac:dyDescent="0.25">
      <c r="H114" s="4">
        <f t="shared" si="1"/>
        <v>0</v>
      </c>
    </row>
    <row r="115" spans="8:8" x14ac:dyDescent="0.25">
      <c r="H115" s="4">
        <f t="shared" si="1"/>
        <v>0</v>
      </c>
    </row>
    <row r="116" spans="8:8" x14ac:dyDescent="0.25">
      <c r="H116" s="4">
        <f t="shared" si="1"/>
        <v>0</v>
      </c>
    </row>
    <row r="117" spans="8:8" x14ac:dyDescent="0.25">
      <c r="H117" s="4">
        <f t="shared" si="1"/>
        <v>0</v>
      </c>
    </row>
    <row r="118" spans="8:8" x14ac:dyDescent="0.25">
      <c r="H118" s="4">
        <f t="shared" si="1"/>
        <v>0</v>
      </c>
    </row>
    <row r="119" spans="8:8" x14ac:dyDescent="0.25">
      <c r="H119" s="4">
        <f t="shared" si="1"/>
        <v>0</v>
      </c>
    </row>
    <row r="120" spans="8:8" x14ac:dyDescent="0.25">
      <c r="H120" s="4">
        <f t="shared" si="1"/>
        <v>0</v>
      </c>
    </row>
    <row r="121" spans="8:8" x14ac:dyDescent="0.25">
      <c r="H121" s="4">
        <f t="shared" si="1"/>
        <v>0</v>
      </c>
    </row>
    <row r="122" spans="8:8" x14ac:dyDescent="0.25">
      <c r="H122" s="4">
        <f t="shared" si="1"/>
        <v>0</v>
      </c>
    </row>
    <row r="123" spans="8:8" x14ac:dyDescent="0.25">
      <c r="H123" s="4">
        <f t="shared" si="1"/>
        <v>0</v>
      </c>
    </row>
    <row r="124" spans="8:8" x14ac:dyDescent="0.25">
      <c r="H124" s="4">
        <f t="shared" si="1"/>
        <v>0</v>
      </c>
    </row>
    <row r="125" spans="8:8" x14ac:dyDescent="0.25">
      <c r="H125" s="4">
        <f t="shared" si="1"/>
        <v>0</v>
      </c>
    </row>
    <row r="126" spans="8:8" x14ac:dyDescent="0.25">
      <c r="H126" s="4">
        <f t="shared" si="1"/>
        <v>0</v>
      </c>
    </row>
    <row r="127" spans="8:8" x14ac:dyDescent="0.25">
      <c r="H127" s="4">
        <f t="shared" si="1"/>
        <v>0</v>
      </c>
    </row>
    <row r="128" spans="8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98">
    <sortCondition ref="B2:B98"/>
    <sortCondition ref="D2:D98"/>
  </sortState>
  <phoneticPr fontId="2" type="noConversion"/>
  <conditionalFormatting sqref="G2:G151">
    <cfRule type="cellIs" dxfId="36" priority="2" operator="equal">
      <formula>0</formula>
    </cfRule>
  </conditionalFormatting>
  <conditionalFormatting sqref="H2:H151">
    <cfRule type="cellIs" dxfId="22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B0C6-1483-42DD-9229-02ACD76B2086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5" width="14.42578125" style="3" customWidth="1"/>
    <col min="6" max="6" width="14.42578125" style="4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F1" s="2"/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Summary'!A4</f>
        <v>45323</v>
      </c>
      <c r="F2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F3"/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F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F5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F6"/>
      <c r="H6" s="4">
        <f t="shared" si="0"/>
        <v>0</v>
      </c>
    </row>
    <row r="7" spans="1:15" x14ac:dyDescent="0.25">
      <c r="F7"/>
      <c r="H7" s="4">
        <f t="shared" si="0"/>
        <v>0</v>
      </c>
      <c r="N7" s="2" t="s">
        <v>14</v>
      </c>
      <c r="O7" s="2" t="s">
        <v>4</v>
      </c>
    </row>
    <row r="8" spans="1:15" x14ac:dyDescent="0.25">
      <c r="F8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F9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E10" s="4"/>
      <c r="F10"/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E11" s="4"/>
      <c r="F11"/>
      <c r="H11" s="4">
        <f t="shared" si="0"/>
        <v>0</v>
      </c>
    </row>
    <row r="12" spans="1:15" x14ac:dyDescent="0.25">
      <c r="F12"/>
      <c r="H12" s="4">
        <f t="shared" si="0"/>
        <v>0</v>
      </c>
      <c r="N12" s="2" t="s">
        <v>15</v>
      </c>
    </row>
    <row r="13" spans="1:15" x14ac:dyDescent="0.25">
      <c r="E13" s="4"/>
      <c r="F13"/>
      <c r="H13" s="4">
        <f t="shared" si="0"/>
        <v>0</v>
      </c>
      <c r="N13" s="9">
        <f>SUM(E2:E1000)</f>
        <v>0</v>
      </c>
    </row>
    <row r="14" spans="1:15" x14ac:dyDescent="0.25">
      <c r="F14"/>
      <c r="H14" s="4">
        <f t="shared" si="0"/>
        <v>0</v>
      </c>
    </row>
    <row r="15" spans="1:15" x14ac:dyDescent="0.25">
      <c r="E15" s="4"/>
      <c r="F15"/>
      <c r="H15" s="4">
        <f t="shared" si="0"/>
        <v>0</v>
      </c>
    </row>
    <row r="16" spans="1:15" x14ac:dyDescent="0.25">
      <c r="F16"/>
      <c r="H16" s="4">
        <f t="shared" si="0"/>
        <v>0</v>
      </c>
    </row>
    <row r="17" spans="5:8" x14ac:dyDescent="0.25">
      <c r="E17" s="4"/>
      <c r="F17"/>
      <c r="H17" s="4">
        <f t="shared" si="0"/>
        <v>0</v>
      </c>
    </row>
    <row r="18" spans="5:8" x14ac:dyDescent="0.25">
      <c r="E18" s="4"/>
      <c r="F18"/>
      <c r="H18" s="4">
        <f t="shared" si="0"/>
        <v>0</v>
      </c>
    </row>
    <row r="19" spans="5:8" x14ac:dyDescent="0.25">
      <c r="E19" s="4"/>
      <c r="F19"/>
      <c r="H19" s="4">
        <f t="shared" si="0"/>
        <v>0</v>
      </c>
    </row>
    <row r="20" spans="5:8" x14ac:dyDescent="0.25">
      <c r="E20" s="4"/>
      <c r="F20"/>
      <c r="H20" s="4">
        <f t="shared" si="0"/>
        <v>0</v>
      </c>
    </row>
    <row r="21" spans="5:8" x14ac:dyDescent="0.25">
      <c r="E21" s="4"/>
      <c r="F21"/>
      <c r="H21" s="4">
        <f t="shared" si="0"/>
        <v>0</v>
      </c>
    </row>
    <row r="22" spans="5:8" x14ac:dyDescent="0.25">
      <c r="E22" s="4"/>
      <c r="F22"/>
      <c r="H22" s="4">
        <f t="shared" si="0"/>
        <v>0</v>
      </c>
    </row>
    <row r="23" spans="5:8" x14ac:dyDescent="0.25">
      <c r="E23" s="4"/>
      <c r="F23"/>
      <c r="H23" s="4">
        <f t="shared" si="0"/>
        <v>0</v>
      </c>
    </row>
    <row r="24" spans="5:8" x14ac:dyDescent="0.25">
      <c r="E24" s="4"/>
      <c r="F24"/>
      <c r="H24" s="4">
        <f t="shared" si="0"/>
        <v>0</v>
      </c>
    </row>
    <row r="25" spans="5:8" x14ac:dyDescent="0.25">
      <c r="E25" s="4"/>
      <c r="F25"/>
      <c r="H25" s="4">
        <f t="shared" si="0"/>
        <v>0</v>
      </c>
    </row>
    <row r="26" spans="5:8" x14ac:dyDescent="0.25">
      <c r="F26"/>
      <c r="H26" s="4">
        <f t="shared" si="0"/>
        <v>0</v>
      </c>
    </row>
    <row r="27" spans="5:8" x14ac:dyDescent="0.25">
      <c r="E27" s="4"/>
      <c r="F27"/>
      <c r="H27" s="4">
        <f t="shared" si="0"/>
        <v>0</v>
      </c>
    </row>
    <row r="28" spans="5:8" x14ac:dyDescent="0.25">
      <c r="E28" s="4"/>
      <c r="F28"/>
      <c r="H28" s="4">
        <f t="shared" si="0"/>
        <v>0</v>
      </c>
    </row>
    <row r="29" spans="5:8" x14ac:dyDescent="0.25">
      <c r="E29" s="4"/>
      <c r="F29"/>
      <c r="H29" s="4">
        <f t="shared" si="0"/>
        <v>0</v>
      </c>
    </row>
    <row r="30" spans="5:8" x14ac:dyDescent="0.25">
      <c r="E30" s="4"/>
      <c r="F30"/>
      <c r="H30" s="4">
        <f t="shared" si="0"/>
        <v>0</v>
      </c>
    </row>
    <row r="31" spans="5:8" x14ac:dyDescent="0.25">
      <c r="F31"/>
      <c r="H31" s="4">
        <f t="shared" si="0"/>
        <v>0</v>
      </c>
    </row>
    <row r="32" spans="5:8" x14ac:dyDescent="0.25">
      <c r="E32" s="4"/>
      <c r="F32"/>
      <c r="H32" s="4">
        <f t="shared" si="0"/>
        <v>0</v>
      </c>
    </row>
    <row r="33" spans="5:8" x14ac:dyDescent="0.25">
      <c r="E33" s="4"/>
      <c r="F33"/>
      <c r="H33" s="4">
        <f t="shared" si="0"/>
        <v>0</v>
      </c>
    </row>
    <row r="34" spans="5:8" x14ac:dyDescent="0.25">
      <c r="E34" s="4"/>
      <c r="F34"/>
      <c r="H34" s="4">
        <f t="shared" si="0"/>
        <v>0</v>
      </c>
    </row>
    <row r="35" spans="5:8" x14ac:dyDescent="0.25">
      <c r="E35" s="4"/>
      <c r="F35"/>
      <c r="H35" s="4">
        <f t="shared" si="0"/>
        <v>0</v>
      </c>
    </row>
    <row r="36" spans="5:8" x14ac:dyDescent="0.25">
      <c r="E36" s="4"/>
      <c r="F36"/>
      <c r="H36" s="4">
        <f t="shared" si="0"/>
        <v>0</v>
      </c>
    </row>
    <row r="37" spans="5:8" x14ac:dyDescent="0.25">
      <c r="E37" s="4"/>
      <c r="F37"/>
      <c r="H37" s="4">
        <f t="shared" si="0"/>
        <v>0</v>
      </c>
    </row>
    <row r="38" spans="5:8" x14ac:dyDescent="0.25">
      <c r="E38" s="4"/>
      <c r="F38"/>
      <c r="H38" s="4">
        <f t="shared" si="0"/>
        <v>0</v>
      </c>
    </row>
    <row r="39" spans="5:8" x14ac:dyDescent="0.25">
      <c r="E39" s="4"/>
      <c r="F39"/>
      <c r="H39" s="4">
        <f t="shared" si="0"/>
        <v>0</v>
      </c>
    </row>
    <row r="40" spans="5:8" x14ac:dyDescent="0.25">
      <c r="E40" s="4"/>
      <c r="F40"/>
      <c r="H40" s="4">
        <f t="shared" si="0"/>
        <v>0</v>
      </c>
    </row>
    <row r="41" spans="5:8" x14ac:dyDescent="0.25">
      <c r="E41" s="4"/>
      <c r="F41"/>
      <c r="H41" s="4">
        <f t="shared" si="0"/>
        <v>0</v>
      </c>
    </row>
    <row r="42" spans="5:8" x14ac:dyDescent="0.25">
      <c r="E42" s="4"/>
      <c r="F42"/>
      <c r="H42" s="4">
        <f t="shared" si="0"/>
        <v>0</v>
      </c>
    </row>
    <row r="43" spans="5:8" x14ac:dyDescent="0.25">
      <c r="E43" s="4"/>
      <c r="F43"/>
      <c r="H43" s="4">
        <f t="shared" si="0"/>
        <v>0</v>
      </c>
    </row>
    <row r="44" spans="5:8" x14ac:dyDescent="0.25">
      <c r="E44" s="4"/>
      <c r="F44"/>
      <c r="H44" s="4">
        <f t="shared" si="0"/>
        <v>0</v>
      </c>
    </row>
    <row r="45" spans="5:8" x14ac:dyDescent="0.25">
      <c r="F45"/>
      <c r="H45" s="4">
        <f t="shared" si="0"/>
        <v>0</v>
      </c>
    </row>
    <row r="46" spans="5:8" x14ac:dyDescent="0.25">
      <c r="E46" s="4"/>
      <c r="F46"/>
      <c r="H46" s="4">
        <f t="shared" si="0"/>
        <v>0</v>
      </c>
    </row>
    <row r="47" spans="5:8" x14ac:dyDescent="0.25">
      <c r="F47"/>
      <c r="H47" s="4">
        <f t="shared" si="0"/>
        <v>0</v>
      </c>
    </row>
    <row r="48" spans="5:8" x14ac:dyDescent="0.25">
      <c r="E48" s="4"/>
      <c r="F48"/>
      <c r="H48" s="4">
        <f t="shared" si="0"/>
        <v>0</v>
      </c>
    </row>
    <row r="49" spans="5:8" x14ac:dyDescent="0.25">
      <c r="E49" s="4"/>
      <c r="F49"/>
      <c r="H49" s="4">
        <f t="shared" si="0"/>
        <v>0</v>
      </c>
    </row>
    <row r="50" spans="5:8" x14ac:dyDescent="0.25">
      <c r="E50" s="4"/>
      <c r="F50"/>
      <c r="H50" s="4">
        <f t="shared" si="0"/>
        <v>0</v>
      </c>
    </row>
    <row r="51" spans="5:8" x14ac:dyDescent="0.25">
      <c r="E51" s="4"/>
      <c r="F51"/>
      <c r="H51" s="4">
        <f t="shared" si="0"/>
        <v>0</v>
      </c>
    </row>
    <row r="52" spans="5:8" x14ac:dyDescent="0.25">
      <c r="E52" s="4"/>
      <c r="F52"/>
      <c r="H52" s="4">
        <f t="shared" si="0"/>
        <v>0</v>
      </c>
    </row>
    <row r="53" spans="5:8" x14ac:dyDescent="0.25">
      <c r="E53" s="4"/>
      <c r="F53"/>
      <c r="H53" s="4">
        <f t="shared" si="0"/>
        <v>0</v>
      </c>
    </row>
    <row r="54" spans="5:8" x14ac:dyDescent="0.25">
      <c r="E54" s="4"/>
      <c r="F54"/>
      <c r="H54" s="4">
        <f t="shared" si="0"/>
        <v>0</v>
      </c>
    </row>
    <row r="55" spans="5:8" x14ac:dyDescent="0.25">
      <c r="E55" s="4"/>
      <c r="F55"/>
      <c r="H55" s="4">
        <f t="shared" si="0"/>
        <v>0</v>
      </c>
    </row>
    <row r="56" spans="5:8" x14ac:dyDescent="0.25">
      <c r="E56" s="4"/>
      <c r="F56"/>
      <c r="H56" s="4">
        <f t="shared" si="0"/>
        <v>0</v>
      </c>
    </row>
    <row r="57" spans="5:8" x14ac:dyDescent="0.25">
      <c r="E57" s="4"/>
      <c r="F57"/>
      <c r="H57" s="4">
        <f t="shared" si="0"/>
        <v>0</v>
      </c>
    </row>
    <row r="58" spans="5:8" x14ac:dyDescent="0.25">
      <c r="E58" s="4"/>
      <c r="F58"/>
      <c r="H58" s="4">
        <f t="shared" si="0"/>
        <v>0</v>
      </c>
    </row>
    <row r="59" spans="5:8" x14ac:dyDescent="0.25">
      <c r="E59" s="4"/>
      <c r="F59"/>
      <c r="H59" s="4">
        <f t="shared" si="0"/>
        <v>0</v>
      </c>
    </row>
    <row r="60" spans="5:8" x14ac:dyDescent="0.25">
      <c r="E60" s="4"/>
      <c r="F60"/>
      <c r="H60" s="4">
        <f t="shared" si="0"/>
        <v>0</v>
      </c>
    </row>
    <row r="61" spans="5:8" x14ac:dyDescent="0.25">
      <c r="E61" s="4"/>
      <c r="F61"/>
      <c r="H61" s="4">
        <f t="shared" si="0"/>
        <v>0</v>
      </c>
    </row>
    <row r="62" spans="5:8" x14ac:dyDescent="0.25">
      <c r="E62" s="4"/>
      <c r="F62"/>
      <c r="H62" s="4">
        <f t="shared" si="0"/>
        <v>0</v>
      </c>
    </row>
    <row r="63" spans="5:8" x14ac:dyDescent="0.25">
      <c r="E63" s="4"/>
      <c r="F63"/>
      <c r="H63" s="4">
        <f t="shared" si="0"/>
        <v>0</v>
      </c>
    </row>
    <row r="64" spans="5:8" x14ac:dyDescent="0.25">
      <c r="E64" s="4"/>
      <c r="F64"/>
      <c r="H64" s="4">
        <f t="shared" si="0"/>
        <v>0</v>
      </c>
    </row>
    <row r="65" spans="5:8" x14ac:dyDescent="0.25">
      <c r="E65" s="4"/>
      <c r="F65"/>
      <c r="H65" s="4">
        <f t="shared" si="0"/>
        <v>0</v>
      </c>
    </row>
    <row r="66" spans="5:8" x14ac:dyDescent="0.25">
      <c r="E66" s="4"/>
      <c r="F66"/>
      <c r="H66" s="4">
        <f t="shared" si="0"/>
        <v>0</v>
      </c>
    </row>
    <row r="67" spans="5:8" x14ac:dyDescent="0.25">
      <c r="E67" s="4"/>
      <c r="F67"/>
      <c r="H67" s="4">
        <f t="shared" ref="H67:H130" si="1">SUMIF($D$2:$D$1000,G67,$E$2:$E$1000)</f>
        <v>0</v>
      </c>
    </row>
    <row r="68" spans="5:8" x14ac:dyDescent="0.25">
      <c r="F68"/>
      <c r="H68" s="4">
        <f t="shared" si="1"/>
        <v>0</v>
      </c>
    </row>
    <row r="69" spans="5:8" x14ac:dyDescent="0.25">
      <c r="E69" s="4"/>
      <c r="F69"/>
      <c r="H69" s="4">
        <f t="shared" si="1"/>
        <v>0</v>
      </c>
    </row>
    <row r="70" spans="5:8" x14ac:dyDescent="0.25">
      <c r="E70" s="4"/>
      <c r="F70"/>
      <c r="H70" s="4">
        <f t="shared" si="1"/>
        <v>0</v>
      </c>
    </row>
    <row r="71" spans="5:8" x14ac:dyDescent="0.25">
      <c r="E71" s="4"/>
      <c r="F71"/>
      <c r="H71" s="4">
        <f t="shared" si="1"/>
        <v>0</v>
      </c>
    </row>
    <row r="72" spans="5:8" x14ac:dyDescent="0.25">
      <c r="E72" s="4"/>
      <c r="F72"/>
      <c r="H72" s="4">
        <f t="shared" si="1"/>
        <v>0</v>
      </c>
    </row>
    <row r="73" spans="5:8" x14ac:dyDescent="0.25">
      <c r="F73"/>
      <c r="H73" s="4">
        <f t="shared" si="1"/>
        <v>0</v>
      </c>
    </row>
    <row r="74" spans="5:8" x14ac:dyDescent="0.25">
      <c r="E74" s="4"/>
      <c r="F74"/>
      <c r="H74" s="4">
        <f t="shared" si="1"/>
        <v>0</v>
      </c>
    </row>
    <row r="75" spans="5:8" x14ac:dyDescent="0.25">
      <c r="E75" s="4"/>
      <c r="F75"/>
      <c r="H75" s="4">
        <f t="shared" si="1"/>
        <v>0</v>
      </c>
    </row>
    <row r="76" spans="5:8" x14ac:dyDescent="0.25">
      <c r="E76" s="4"/>
      <c r="F76"/>
      <c r="H76" s="4">
        <f t="shared" si="1"/>
        <v>0</v>
      </c>
    </row>
    <row r="77" spans="5:8" x14ac:dyDescent="0.25">
      <c r="E77" s="4"/>
      <c r="F77"/>
      <c r="H77" s="4">
        <f t="shared" si="1"/>
        <v>0</v>
      </c>
    </row>
    <row r="78" spans="5:8" x14ac:dyDescent="0.25">
      <c r="E78" s="4"/>
      <c r="F78"/>
      <c r="H78" s="4">
        <f t="shared" si="1"/>
        <v>0</v>
      </c>
    </row>
    <row r="79" spans="5:8" x14ac:dyDescent="0.25">
      <c r="E79" s="4"/>
      <c r="F79"/>
      <c r="H79" s="4">
        <f t="shared" si="1"/>
        <v>0</v>
      </c>
    </row>
    <row r="80" spans="5:8" x14ac:dyDescent="0.25">
      <c r="E80" s="4"/>
      <c r="F80"/>
      <c r="H80" s="4">
        <f t="shared" si="1"/>
        <v>0</v>
      </c>
    </row>
    <row r="81" spans="5:9" x14ac:dyDescent="0.25">
      <c r="E81" s="4"/>
      <c r="F81"/>
      <c r="H81" s="4">
        <f t="shared" si="1"/>
        <v>0</v>
      </c>
    </row>
    <row r="82" spans="5:9" x14ac:dyDescent="0.25">
      <c r="E82" s="4"/>
      <c r="F82"/>
      <c r="H82" s="4">
        <f t="shared" si="1"/>
        <v>0</v>
      </c>
    </row>
    <row r="83" spans="5:9" x14ac:dyDescent="0.25">
      <c r="E83" s="4"/>
      <c r="F83"/>
      <c r="H83" s="4">
        <f t="shared" si="1"/>
        <v>0</v>
      </c>
    </row>
    <row r="84" spans="5:9" x14ac:dyDescent="0.25">
      <c r="E84" s="4"/>
      <c r="F84"/>
      <c r="H84" s="4">
        <f t="shared" si="1"/>
        <v>0</v>
      </c>
    </row>
    <row r="85" spans="5:9" x14ac:dyDescent="0.25">
      <c r="E85" s="4"/>
      <c r="F85"/>
      <c r="H85" s="4">
        <f t="shared" si="1"/>
        <v>0</v>
      </c>
    </row>
    <row r="86" spans="5:9" x14ac:dyDescent="0.25">
      <c r="E86" s="4"/>
      <c r="F86"/>
      <c r="H86" s="4">
        <f t="shared" si="1"/>
        <v>0</v>
      </c>
    </row>
    <row r="87" spans="5:9" x14ac:dyDescent="0.25">
      <c r="E87" s="4"/>
      <c r="F87"/>
      <c r="H87" s="4">
        <f t="shared" si="1"/>
        <v>0</v>
      </c>
    </row>
    <row r="88" spans="5:9" x14ac:dyDescent="0.25">
      <c r="E88" s="4"/>
      <c r="F88"/>
      <c r="H88" s="4">
        <f t="shared" si="1"/>
        <v>0</v>
      </c>
    </row>
    <row r="89" spans="5:9" x14ac:dyDescent="0.25">
      <c r="E89" s="4"/>
      <c r="F89"/>
      <c r="H89" s="4">
        <f t="shared" si="1"/>
        <v>0</v>
      </c>
    </row>
    <row r="90" spans="5:9" x14ac:dyDescent="0.25">
      <c r="E90" s="4"/>
      <c r="F90"/>
      <c r="H90" s="4">
        <f t="shared" si="1"/>
        <v>0</v>
      </c>
    </row>
    <row r="91" spans="5:9" x14ac:dyDescent="0.25">
      <c r="E91" s="4"/>
      <c r="F91"/>
      <c r="H91" s="4">
        <f t="shared" si="1"/>
        <v>0</v>
      </c>
      <c r="I91" s="5"/>
    </row>
    <row r="92" spans="5:9" x14ac:dyDescent="0.25">
      <c r="E92" s="4"/>
      <c r="F92"/>
      <c r="H92" s="4">
        <f t="shared" si="1"/>
        <v>0</v>
      </c>
    </row>
    <row r="93" spans="5:9" x14ac:dyDescent="0.25">
      <c r="E93" s="4"/>
      <c r="F93"/>
      <c r="H93" s="4">
        <f t="shared" si="1"/>
        <v>0</v>
      </c>
    </row>
    <row r="94" spans="5:9" x14ac:dyDescent="0.25">
      <c r="E94" s="4"/>
      <c r="F9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H104" s="4">
        <f t="shared" si="1"/>
        <v>0</v>
      </c>
    </row>
    <row r="105" spans="5:8" x14ac:dyDescent="0.25">
      <c r="H105" s="4">
        <f t="shared" si="1"/>
        <v>0</v>
      </c>
    </row>
    <row r="106" spans="5:8" x14ac:dyDescent="0.25">
      <c r="H106" s="4">
        <f t="shared" si="1"/>
        <v>0</v>
      </c>
    </row>
    <row r="107" spans="5:8" x14ac:dyDescent="0.25">
      <c r="H107" s="4">
        <f t="shared" si="1"/>
        <v>0</v>
      </c>
    </row>
    <row r="108" spans="5:8" x14ac:dyDescent="0.25">
      <c r="E108" s="4"/>
      <c r="H108" s="4">
        <f t="shared" si="1"/>
        <v>0</v>
      </c>
    </row>
    <row r="109" spans="5:8" x14ac:dyDescent="0.25">
      <c r="E109" s="4"/>
      <c r="H109" s="4">
        <f t="shared" si="1"/>
        <v>0</v>
      </c>
    </row>
    <row r="110" spans="5:8" x14ac:dyDescent="0.25">
      <c r="E110" s="4"/>
      <c r="H110" s="4">
        <f t="shared" si="1"/>
        <v>0</v>
      </c>
    </row>
    <row r="111" spans="5:8" x14ac:dyDescent="0.25">
      <c r="E111" s="4"/>
      <c r="H111" s="4">
        <f t="shared" si="1"/>
        <v>0</v>
      </c>
    </row>
    <row r="112" spans="5:8" x14ac:dyDescent="0.25">
      <c r="E112" s="4"/>
      <c r="H112" s="4">
        <f t="shared" si="1"/>
        <v>0</v>
      </c>
    </row>
    <row r="113" spans="5:8" x14ac:dyDescent="0.25">
      <c r="E113" s="4"/>
      <c r="H113" s="4">
        <f t="shared" si="1"/>
        <v>0</v>
      </c>
    </row>
    <row r="114" spans="5:8" x14ac:dyDescent="0.25">
      <c r="E114" s="4"/>
      <c r="H114" s="4">
        <f t="shared" si="1"/>
        <v>0</v>
      </c>
    </row>
    <row r="115" spans="5:8" x14ac:dyDescent="0.25">
      <c r="H115" s="4">
        <f t="shared" si="1"/>
        <v>0</v>
      </c>
    </row>
    <row r="116" spans="5:8" x14ac:dyDescent="0.25">
      <c r="H116" s="4">
        <f t="shared" si="1"/>
        <v>0</v>
      </c>
    </row>
    <row r="117" spans="5:8" x14ac:dyDescent="0.25">
      <c r="H117" s="4">
        <f t="shared" si="1"/>
        <v>0</v>
      </c>
    </row>
    <row r="118" spans="5:8" x14ac:dyDescent="0.25">
      <c r="H118" s="4">
        <f t="shared" si="1"/>
        <v>0</v>
      </c>
    </row>
    <row r="119" spans="5:8" x14ac:dyDescent="0.25">
      <c r="H119" s="4">
        <f t="shared" si="1"/>
        <v>0</v>
      </c>
    </row>
    <row r="120" spans="5:8" x14ac:dyDescent="0.25">
      <c r="H120" s="4">
        <f t="shared" si="1"/>
        <v>0</v>
      </c>
    </row>
    <row r="121" spans="5:8" x14ac:dyDescent="0.25">
      <c r="H121" s="4">
        <f t="shared" si="1"/>
        <v>0</v>
      </c>
    </row>
    <row r="122" spans="5:8" x14ac:dyDescent="0.25">
      <c r="H122" s="4">
        <f t="shared" si="1"/>
        <v>0</v>
      </c>
    </row>
    <row r="123" spans="5:8" x14ac:dyDescent="0.25">
      <c r="H123" s="4">
        <f t="shared" si="1"/>
        <v>0</v>
      </c>
    </row>
    <row r="124" spans="5:8" x14ac:dyDescent="0.25"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04">
    <sortCondition ref="B2:B104"/>
    <sortCondition ref="D2:D104"/>
  </sortState>
  <conditionalFormatting sqref="G2:G151">
    <cfRule type="cellIs" dxfId="21" priority="2" operator="equal">
      <formula>0</formula>
    </cfRule>
  </conditionalFormatting>
  <conditionalFormatting sqref="H2:H151">
    <cfRule type="cellIs" dxfId="2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16B7-3D9A-404D-9A0E-C3F2D598322F}">
  <dimension ref="A1:O154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F1" s="2"/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Summary'!A5</f>
        <v>45354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E3" s="4"/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8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E10" s="4"/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E11" s="4"/>
      <c r="H11" s="4">
        <f t="shared" si="0"/>
        <v>0</v>
      </c>
    </row>
    <row r="12" spans="1:15" x14ac:dyDescent="0.25">
      <c r="E12" s="4"/>
      <c r="H12" s="4">
        <f t="shared" si="0"/>
        <v>0</v>
      </c>
      <c r="N12" s="2" t="s">
        <v>15</v>
      </c>
    </row>
    <row r="13" spans="1:15" x14ac:dyDescent="0.25">
      <c r="E13" s="4"/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E15" s="4"/>
      <c r="H15" s="4">
        <f t="shared" si="0"/>
        <v>0</v>
      </c>
    </row>
    <row r="16" spans="1:15" x14ac:dyDescent="0.25">
      <c r="H16" s="4">
        <f t="shared" si="0"/>
        <v>0</v>
      </c>
    </row>
    <row r="17" spans="5:8" x14ac:dyDescent="0.25">
      <c r="E17" s="4"/>
      <c r="H17" s="4">
        <f t="shared" si="0"/>
        <v>0</v>
      </c>
    </row>
    <row r="18" spans="5:8" x14ac:dyDescent="0.25">
      <c r="E18" s="4"/>
      <c r="H18" s="4">
        <f t="shared" si="0"/>
        <v>0</v>
      </c>
    </row>
    <row r="19" spans="5:8" x14ac:dyDescent="0.25">
      <c r="E19" s="4"/>
      <c r="H19" s="4">
        <f t="shared" si="0"/>
        <v>0</v>
      </c>
    </row>
    <row r="20" spans="5:8" x14ac:dyDescent="0.25">
      <c r="E20" s="4"/>
      <c r="H20" s="4">
        <f t="shared" si="0"/>
        <v>0</v>
      </c>
    </row>
    <row r="21" spans="5:8" x14ac:dyDescent="0.25">
      <c r="E21" s="4"/>
      <c r="H21" s="4">
        <f t="shared" si="0"/>
        <v>0</v>
      </c>
    </row>
    <row r="22" spans="5:8" x14ac:dyDescent="0.25">
      <c r="E22" s="4"/>
      <c r="H22" s="4">
        <f t="shared" si="0"/>
        <v>0</v>
      </c>
    </row>
    <row r="23" spans="5:8" x14ac:dyDescent="0.25">
      <c r="E23" s="4"/>
      <c r="H23" s="4">
        <f t="shared" si="0"/>
        <v>0</v>
      </c>
    </row>
    <row r="24" spans="5:8" x14ac:dyDescent="0.25">
      <c r="E24" s="4"/>
      <c r="H24" s="4">
        <f t="shared" si="0"/>
        <v>0</v>
      </c>
    </row>
    <row r="25" spans="5:8" x14ac:dyDescent="0.25">
      <c r="E25" s="4"/>
      <c r="H25" s="4">
        <f t="shared" si="0"/>
        <v>0</v>
      </c>
    </row>
    <row r="26" spans="5:8" x14ac:dyDescent="0.25">
      <c r="E26" s="4"/>
      <c r="H26" s="4">
        <f t="shared" si="0"/>
        <v>0</v>
      </c>
    </row>
    <row r="27" spans="5:8" x14ac:dyDescent="0.25">
      <c r="E27" s="4"/>
      <c r="H27" s="4">
        <f t="shared" si="0"/>
        <v>0</v>
      </c>
    </row>
    <row r="28" spans="5:8" x14ac:dyDescent="0.25">
      <c r="E28" s="4"/>
      <c r="H28" s="4">
        <f t="shared" si="0"/>
        <v>0</v>
      </c>
    </row>
    <row r="29" spans="5:8" x14ac:dyDescent="0.25">
      <c r="H29" s="4">
        <f t="shared" si="0"/>
        <v>0</v>
      </c>
    </row>
    <row r="30" spans="5:8" x14ac:dyDescent="0.25">
      <c r="E30" s="4"/>
      <c r="H30" s="4">
        <f t="shared" si="0"/>
        <v>0</v>
      </c>
    </row>
    <row r="31" spans="5:8" x14ac:dyDescent="0.25">
      <c r="E31" s="4"/>
      <c r="H31" s="4">
        <f t="shared" si="0"/>
        <v>0</v>
      </c>
    </row>
    <row r="32" spans="5:8" x14ac:dyDescent="0.25">
      <c r="E32" s="4"/>
      <c r="H32" s="4">
        <f t="shared" si="0"/>
        <v>0</v>
      </c>
    </row>
    <row r="33" spans="5:8" x14ac:dyDescent="0.25">
      <c r="E33" s="4"/>
      <c r="H33" s="4">
        <f t="shared" si="0"/>
        <v>0</v>
      </c>
    </row>
    <row r="34" spans="5:8" x14ac:dyDescent="0.25">
      <c r="E34" s="4"/>
      <c r="H34" s="4">
        <f t="shared" si="0"/>
        <v>0</v>
      </c>
    </row>
    <row r="35" spans="5:8" x14ac:dyDescent="0.25">
      <c r="E35" s="4"/>
      <c r="H35" s="4">
        <f t="shared" si="0"/>
        <v>0</v>
      </c>
    </row>
    <row r="36" spans="5:8" x14ac:dyDescent="0.25">
      <c r="E36" s="4"/>
      <c r="H36" s="4">
        <f t="shared" si="0"/>
        <v>0</v>
      </c>
    </row>
    <row r="37" spans="5:8" x14ac:dyDescent="0.25">
      <c r="E37" s="4"/>
      <c r="H37" s="4">
        <f t="shared" si="0"/>
        <v>0</v>
      </c>
    </row>
    <row r="38" spans="5:8" x14ac:dyDescent="0.25">
      <c r="E38" s="4"/>
      <c r="H38" s="4">
        <f t="shared" si="0"/>
        <v>0</v>
      </c>
    </row>
    <row r="39" spans="5:8" x14ac:dyDescent="0.25">
      <c r="E39" s="4"/>
      <c r="H39" s="4">
        <f t="shared" si="0"/>
        <v>0</v>
      </c>
    </row>
    <row r="40" spans="5:8" x14ac:dyDescent="0.25">
      <c r="E40" s="4"/>
      <c r="H40" s="4">
        <f t="shared" si="0"/>
        <v>0</v>
      </c>
    </row>
    <row r="41" spans="5:8" x14ac:dyDescent="0.25">
      <c r="E41" s="4"/>
      <c r="H41" s="4">
        <f t="shared" si="0"/>
        <v>0</v>
      </c>
    </row>
    <row r="42" spans="5:8" x14ac:dyDescent="0.25">
      <c r="E42" s="4"/>
      <c r="H42" s="4">
        <f t="shared" si="0"/>
        <v>0</v>
      </c>
    </row>
    <row r="43" spans="5:8" x14ac:dyDescent="0.25">
      <c r="E43" s="4"/>
      <c r="H43" s="4">
        <f t="shared" si="0"/>
        <v>0</v>
      </c>
    </row>
    <row r="44" spans="5:8" x14ac:dyDescent="0.25">
      <c r="E44" s="4"/>
      <c r="H44" s="4">
        <f t="shared" si="0"/>
        <v>0</v>
      </c>
    </row>
    <row r="45" spans="5:8" x14ac:dyDescent="0.25">
      <c r="E45" s="4"/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E47" s="4"/>
      <c r="H47" s="4">
        <f t="shared" si="0"/>
        <v>0</v>
      </c>
    </row>
    <row r="48" spans="5:8" x14ac:dyDescent="0.25"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18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F98" s="5"/>
      <c r="H98" s="4">
        <f t="shared" si="1"/>
        <v>0</v>
      </c>
    </row>
    <row r="99" spans="5:8" x14ac:dyDescent="0.25">
      <c r="E99" s="4"/>
      <c r="F99" s="4"/>
      <c r="H99" s="4">
        <f t="shared" si="1"/>
        <v>0</v>
      </c>
    </row>
    <row r="100" spans="5:8" x14ac:dyDescent="0.25">
      <c r="E100" s="4"/>
      <c r="F100" s="4"/>
      <c r="H100" s="4">
        <f t="shared" si="1"/>
        <v>0</v>
      </c>
    </row>
    <row r="101" spans="5:8" x14ac:dyDescent="0.25">
      <c r="E101" s="4"/>
      <c r="F101" s="4"/>
      <c r="H101" s="4">
        <f t="shared" si="1"/>
        <v>0</v>
      </c>
    </row>
    <row r="102" spans="5:8" x14ac:dyDescent="0.25">
      <c r="E102" s="10"/>
      <c r="F102" s="4"/>
      <c r="H102" s="4">
        <f t="shared" si="1"/>
        <v>0</v>
      </c>
    </row>
    <row r="103" spans="5:8" x14ac:dyDescent="0.25">
      <c r="E103" s="4"/>
      <c r="F103" s="4"/>
      <c r="H103" s="4">
        <f t="shared" si="1"/>
        <v>0</v>
      </c>
    </row>
    <row r="104" spans="5:8" x14ac:dyDescent="0.25">
      <c r="E104" s="4"/>
      <c r="F104" s="4"/>
      <c r="H104" s="4">
        <f t="shared" si="1"/>
        <v>0</v>
      </c>
    </row>
    <row r="105" spans="5:8" x14ac:dyDescent="0.25">
      <c r="E105" s="4"/>
      <c r="F105" s="4"/>
      <c r="H105" s="4">
        <f t="shared" si="1"/>
        <v>0</v>
      </c>
    </row>
    <row r="106" spans="5:8" x14ac:dyDescent="0.25">
      <c r="E106" s="4"/>
      <c r="F106" s="4"/>
      <c r="H106" s="4">
        <f t="shared" si="1"/>
        <v>0</v>
      </c>
    </row>
    <row r="107" spans="5:8" x14ac:dyDescent="0.25">
      <c r="E107" s="4"/>
      <c r="F107" s="4"/>
      <c r="H107" s="4">
        <f t="shared" si="1"/>
        <v>0</v>
      </c>
    </row>
    <row r="108" spans="5:8" x14ac:dyDescent="0.25">
      <c r="E108" s="4"/>
      <c r="F108" s="4"/>
      <c r="H108" s="4">
        <f t="shared" si="1"/>
        <v>0</v>
      </c>
    </row>
    <row r="109" spans="5:8" x14ac:dyDescent="0.25">
      <c r="E109" s="4"/>
      <c r="F109" s="4"/>
      <c r="H109" s="4">
        <f t="shared" si="1"/>
        <v>0</v>
      </c>
    </row>
    <row r="110" spans="5:8" x14ac:dyDescent="0.25">
      <c r="E110" s="4"/>
      <c r="F110" s="4"/>
      <c r="H110" s="4">
        <f t="shared" si="1"/>
        <v>0</v>
      </c>
    </row>
    <row r="111" spans="5:8" x14ac:dyDescent="0.25">
      <c r="E111" s="4"/>
      <c r="F111" s="4"/>
      <c r="H111" s="4">
        <f t="shared" si="1"/>
        <v>0</v>
      </c>
    </row>
    <row r="112" spans="5:8" x14ac:dyDescent="0.25">
      <c r="E112" s="4"/>
      <c r="F112" s="4"/>
      <c r="H112" s="4">
        <f t="shared" si="1"/>
        <v>0</v>
      </c>
    </row>
    <row r="113" spans="5:8" x14ac:dyDescent="0.25">
      <c r="E113" s="4"/>
      <c r="F113" s="4"/>
      <c r="H113" s="4">
        <f t="shared" si="1"/>
        <v>0</v>
      </c>
    </row>
    <row r="114" spans="5:8" x14ac:dyDescent="0.25">
      <c r="E114" s="4"/>
      <c r="F114" s="4"/>
      <c r="H114" s="4">
        <f t="shared" si="1"/>
        <v>0</v>
      </c>
    </row>
    <row r="115" spans="5:8" x14ac:dyDescent="0.25">
      <c r="E115" s="4"/>
      <c r="F115" s="4"/>
      <c r="H115" s="4">
        <f t="shared" si="1"/>
        <v>0</v>
      </c>
    </row>
    <row r="116" spans="5:8" x14ac:dyDescent="0.25">
      <c r="E116" s="4"/>
      <c r="F116" s="4"/>
      <c r="H116" s="4">
        <f t="shared" si="1"/>
        <v>0</v>
      </c>
    </row>
    <row r="117" spans="5:8" x14ac:dyDescent="0.25">
      <c r="F117" s="4"/>
      <c r="H117" s="4">
        <f t="shared" si="1"/>
        <v>0</v>
      </c>
    </row>
    <row r="118" spans="5:8" x14ac:dyDescent="0.25">
      <c r="F118" s="4"/>
      <c r="H118" s="4">
        <f t="shared" si="1"/>
        <v>0</v>
      </c>
    </row>
    <row r="119" spans="5:8" x14ac:dyDescent="0.25">
      <c r="F119" s="4"/>
      <c r="H119" s="4">
        <f t="shared" si="1"/>
        <v>0</v>
      </c>
    </row>
    <row r="120" spans="5:8" x14ac:dyDescent="0.25">
      <c r="F120" s="4"/>
      <c r="H120" s="4">
        <f t="shared" si="1"/>
        <v>0</v>
      </c>
    </row>
    <row r="121" spans="5:8" x14ac:dyDescent="0.25">
      <c r="F121" s="4"/>
      <c r="H121" s="4">
        <f t="shared" si="1"/>
        <v>0</v>
      </c>
    </row>
    <row r="122" spans="5:8" x14ac:dyDescent="0.25">
      <c r="F122" s="4"/>
      <c r="H122" s="4">
        <f t="shared" si="1"/>
        <v>0</v>
      </c>
    </row>
    <row r="123" spans="5:8" x14ac:dyDescent="0.25">
      <c r="F123" s="4"/>
      <c r="H123" s="4">
        <f t="shared" si="1"/>
        <v>0</v>
      </c>
    </row>
    <row r="124" spans="5:8" x14ac:dyDescent="0.25">
      <c r="F124" s="4"/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5:8" x14ac:dyDescent="0.25">
      <c r="H145" s="4">
        <f t="shared" si="2"/>
        <v>0</v>
      </c>
    </row>
    <row r="146" spans="5:8" x14ac:dyDescent="0.25">
      <c r="H146" s="4">
        <f t="shared" si="2"/>
        <v>0</v>
      </c>
    </row>
    <row r="147" spans="5:8" x14ac:dyDescent="0.25">
      <c r="H147" s="4">
        <f t="shared" si="2"/>
        <v>0</v>
      </c>
    </row>
    <row r="148" spans="5:8" x14ac:dyDescent="0.25">
      <c r="H148" s="4">
        <f t="shared" si="2"/>
        <v>0</v>
      </c>
    </row>
    <row r="149" spans="5:8" x14ac:dyDescent="0.25">
      <c r="H149" s="4">
        <f t="shared" si="2"/>
        <v>0</v>
      </c>
    </row>
    <row r="150" spans="5:8" x14ac:dyDescent="0.25">
      <c r="H150" s="4">
        <f t="shared" si="2"/>
        <v>0</v>
      </c>
    </row>
    <row r="151" spans="5:8" x14ac:dyDescent="0.25">
      <c r="H151" s="4">
        <f t="shared" si="2"/>
        <v>0</v>
      </c>
    </row>
    <row r="154" spans="5:8" x14ac:dyDescent="0.25">
      <c r="E154" s="4"/>
    </row>
  </sheetData>
  <sortState xmlns:xlrd2="http://schemas.microsoft.com/office/spreadsheetml/2017/richdata2" ref="B2:E154">
    <sortCondition ref="B2:B154"/>
    <sortCondition ref="D2:D154"/>
  </sortState>
  <phoneticPr fontId="2" type="noConversion"/>
  <conditionalFormatting sqref="G2:G151">
    <cfRule type="cellIs" dxfId="19" priority="2" operator="equal">
      <formula>0</formula>
    </cfRule>
  </conditionalFormatting>
  <conditionalFormatting sqref="H2:H151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7BF5-C66E-41F6-B036-9830FD02F554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Summary'!A6</f>
        <v>45385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E3" s="4"/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5:8" x14ac:dyDescent="0.25">
      <c r="H33" s="4">
        <f t="shared" si="0"/>
        <v>0</v>
      </c>
    </row>
    <row r="34" spans="5:8" x14ac:dyDescent="0.25">
      <c r="H34" s="4">
        <f t="shared" si="0"/>
        <v>0</v>
      </c>
    </row>
    <row r="35" spans="5:8" x14ac:dyDescent="0.25">
      <c r="H35" s="4">
        <f t="shared" si="0"/>
        <v>0</v>
      </c>
    </row>
    <row r="36" spans="5:8" x14ac:dyDescent="0.25">
      <c r="H36" s="4">
        <f t="shared" si="0"/>
        <v>0</v>
      </c>
    </row>
    <row r="37" spans="5:8" x14ac:dyDescent="0.25">
      <c r="H37" s="4">
        <f t="shared" si="0"/>
        <v>0</v>
      </c>
    </row>
    <row r="38" spans="5:8" x14ac:dyDescent="0.25">
      <c r="H38" s="4">
        <f t="shared" si="0"/>
        <v>0</v>
      </c>
    </row>
    <row r="39" spans="5:8" x14ac:dyDescent="0.25">
      <c r="H39" s="4">
        <f t="shared" si="0"/>
        <v>0</v>
      </c>
    </row>
    <row r="40" spans="5:8" x14ac:dyDescent="0.25">
      <c r="H40" s="4">
        <f t="shared" si="0"/>
        <v>0</v>
      </c>
    </row>
    <row r="41" spans="5:8" x14ac:dyDescent="0.25">
      <c r="H41" s="4">
        <f t="shared" si="0"/>
        <v>0</v>
      </c>
    </row>
    <row r="42" spans="5:8" x14ac:dyDescent="0.25">
      <c r="H42" s="4">
        <f t="shared" si="0"/>
        <v>0</v>
      </c>
    </row>
    <row r="43" spans="5:8" x14ac:dyDescent="0.25">
      <c r="H43" s="4">
        <f t="shared" si="0"/>
        <v>0</v>
      </c>
    </row>
    <row r="44" spans="5:8" x14ac:dyDescent="0.25">
      <c r="H44" s="4">
        <f t="shared" si="0"/>
        <v>0</v>
      </c>
    </row>
    <row r="45" spans="5:8" x14ac:dyDescent="0.25">
      <c r="H45" s="4">
        <f t="shared" si="0"/>
        <v>0</v>
      </c>
    </row>
    <row r="46" spans="5:8" x14ac:dyDescent="0.25">
      <c r="H46" s="4">
        <f t="shared" si="0"/>
        <v>0</v>
      </c>
    </row>
    <row r="47" spans="5:8" x14ac:dyDescent="0.25">
      <c r="H47" s="4">
        <f t="shared" si="0"/>
        <v>0</v>
      </c>
    </row>
    <row r="48" spans="5:8" x14ac:dyDescent="0.25">
      <c r="E48" s="4"/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E108" s="4"/>
      <c r="H108" s="4">
        <f t="shared" si="1"/>
        <v>0</v>
      </c>
    </row>
    <row r="109" spans="5:8" x14ac:dyDescent="0.25">
      <c r="E109" s="4"/>
      <c r="H109" s="4">
        <f t="shared" si="1"/>
        <v>0</v>
      </c>
    </row>
    <row r="110" spans="5:8" x14ac:dyDescent="0.25">
      <c r="E110" s="4"/>
      <c r="H110" s="4">
        <f t="shared" si="1"/>
        <v>0</v>
      </c>
    </row>
    <row r="111" spans="5:8" x14ac:dyDescent="0.25">
      <c r="E111" s="4"/>
      <c r="H111" s="4">
        <f t="shared" si="1"/>
        <v>0</v>
      </c>
    </row>
    <row r="112" spans="5:8" x14ac:dyDescent="0.25">
      <c r="E112" s="4"/>
      <c r="H112" s="4">
        <f t="shared" si="1"/>
        <v>0</v>
      </c>
    </row>
    <row r="113" spans="5:8" x14ac:dyDescent="0.25">
      <c r="E113" s="4"/>
      <c r="H113" s="4">
        <f t="shared" si="1"/>
        <v>0</v>
      </c>
    </row>
    <row r="114" spans="5:8" x14ac:dyDescent="0.25">
      <c r="E114" s="4"/>
      <c r="H114" s="4">
        <f t="shared" si="1"/>
        <v>0</v>
      </c>
    </row>
    <row r="115" spans="5:8" x14ac:dyDescent="0.25"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E125" s="3"/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5">
    <sortCondition ref="B2:B125"/>
    <sortCondition ref="D2:D125"/>
  </sortState>
  <phoneticPr fontId="2" type="noConversion"/>
  <conditionalFormatting sqref="G2:G151">
    <cfRule type="cellIs" dxfId="17" priority="2" operator="equal">
      <formula>0</formula>
    </cfRule>
  </conditionalFormatting>
  <conditionalFormatting sqref="H2:H151">
    <cfRule type="cellIs" dxfId="16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635F-BC8C-43E5-BC3F-5A886E2D6E1A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Summary'!A7</f>
        <v>45416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8:8" x14ac:dyDescent="0.25">
      <c r="H33" s="4">
        <f t="shared" si="0"/>
        <v>0</v>
      </c>
    </row>
    <row r="34" spans="8:8" x14ac:dyDescent="0.25">
      <c r="H34" s="4">
        <f t="shared" si="0"/>
        <v>0</v>
      </c>
    </row>
    <row r="35" spans="8:8" x14ac:dyDescent="0.25">
      <c r="H35" s="4">
        <f t="shared" si="0"/>
        <v>0</v>
      </c>
    </row>
    <row r="36" spans="8:8" x14ac:dyDescent="0.25">
      <c r="H36" s="4">
        <f t="shared" si="0"/>
        <v>0</v>
      </c>
    </row>
    <row r="37" spans="8:8" x14ac:dyDescent="0.25">
      <c r="H37" s="4">
        <f t="shared" si="0"/>
        <v>0</v>
      </c>
    </row>
    <row r="38" spans="8:8" x14ac:dyDescent="0.25">
      <c r="H38" s="4">
        <f t="shared" si="0"/>
        <v>0</v>
      </c>
    </row>
    <row r="39" spans="8:8" x14ac:dyDescent="0.25">
      <c r="H39" s="4">
        <f t="shared" si="0"/>
        <v>0</v>
      </c>
    </row>
    <row r="40" spans="8:8" x14ac:dyDescent="0.25">
      <c r="H40" s="4">
        <f t="shared" si="0"/>
        <v>0</v>
      </c>
    </row>
    <row r="41" spans="8:8" x14ac:dyDescent="0.25">
      <c r="H41" s="4">
        <f t="shared" si="0"/>
        <v>0</v>
      </c>
    </row>
    <row r="42" spans="8:8" x14ac:dyDescent="0.25">
      <c r="H42" s="4">
        <f t="shared" si="0"/>
        <v>0</v>
      </c>
    </row>
    <row r="43" spans="8:8" x14ac:dyDescent="0.25">
      <c r="H43" s="4">
        <f t="shared" si="0"/>
        <v>0</v>
      </c>
    </row>
    <row r="44" spans="8:8" x14ac:dyDescent="0.25">
      <c r="H44" s="4">
        <f t="shared" si="0"/>
        <v>0</v>
      </c>
    </row>
    <row r="45" spans="8:8" x14ac:dyDescent="0.25">
      <c r="H45" s="4">
        <f t="shared" si="0"/>
        <v>0</v>
      </c>
    </row>
    <row r="46" spans="8:8" x14ac:dyDescent="0.25">
      <c r="H46" s="4">
        <f t="shared" si="0"/>
        <v>0</v>
      </c>
    </row>
    <row r="47" spans="8:8" x14ac:dyDescent="0.25">
      <c r="H47" s="4">
        <f t="shared" si="0"/>
        <v>0</v>
      </c>
    </row>
    <row r="48" spans="8:8" x14ac:dyDescent="0.25">
      <c r="H48" s="4">
        <f t="shared" si="0"/>
        <v>0</v>
      </c>
    </row>
    <row r="49" spans="5:8" x14ac:dyDescent="0.25">
      <c r="H49" s="4">
        <f t="shared" si="0"/>
        <v>0</v>
      </c>
    </row>
    <row r="50" spans="5:8" x14ac:dyDescent="0.25">
      <c r="H50" s="4">
        <f t="shared" si="0"/>
        <v>0</v>
      </c>
    </row>
    <row r="51" spans="5:8" x14ac:dyDescent="0.25"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E108" s="4"/>
      <c r="H108" s="4">
        <f t="shared" si="1"/>
        <v>0</v>
      </c>
    </row>
    <row r="109" spans="5:8" x14ac:dyDescent="0.25">
      <c r="E109" s="4"/>
      <c r="H109" s="4">
        <f t="shared" si="1"/>
        <v>0</v>
      </c>
    </row>
    <row r="110" spans="5:8" x14ac:dyDescent="0.25">
      <c r="E110" s="4"/>
      <c r="H110" s="4">
        <f t="shared" si="1"/>
        <v>0</v>
      </c>
    </row>
    <row r="111" spans="5:8" x14ac:dyDescent="0.25">
      <c r="E111" s="4"/>
      <c r="H111" s="4">
        <f t="shared" si="1"/>
        <v>0</v>
      </c>
    </row>
    <row r="112" spans="5:8" x14ac:dyDescent="0.25">
      <c r="E112" s="4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E125" s="3"/>
      <c r="H125" s="4">
        <f t="shared" si="1"/>
        <v>0</v>
      </c>
    </row>
    <row r="126" spans="5:8" x14ac:dyDescent="0.25">
      <c r="E126" s="3"/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6">
    <sortCondition ref="B2:B126"/>
    <sortCondition ref="D2:D126"/>
  </sortState>
  <conditionalFormatting sqref="G2:G151">
    <cfRule type="cellIs" dxfId="15" priority="2" operator="equal">
      <formula>0</formula>
    </cfRule>
  </conditionalFormatting>
  <conditionalFormatting sqref="H2:H151">
    <cfRule type="cellIs" dxfId="14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BB2D-BC06-4536-813E-1180592D1EC7}">
  <dimension ref="A1:O151"/>
  <sheetViews>
    <sheetView zoomScaleNormal="100"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Summary'!A8</f>
        <v>45447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E3" s="4"/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D6" s="4"/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4:8" x14ac:dyDescent="0.25">
      <c r="H17" s="4">
        <f t="shared" si="0"/>
        <v>0</v>
      </c>
    </row>
    <row r="18" spans="4:8" x14ac:dyDescent="0.25">
      <c r="H18" s="4">
        <f t="shared" si="0"/>
        <v>0</v>
      </c>
    </row>
    <row r="19" spans="4:8" x14ac:dyDescent="0.25">
      <c r="H19" s="4">
        <f t="shared" si="0"/>
        <v>0</v>
      </c>
    </row>
    <row r="20" spans="4:8" x14ac:dyDescent="0.25">
      <c r="H20" s="4">
        <f t="shared" si="0"/>
        <v>0</v>
      </c>
    </row>
    <row r="21" spans="4:8" x14ac:dyDescent="0.25">
      <c r="H21" s="4">
        <f t="shared" si="0"/>
        <v>0</v>
      </c>
    </row>
    <row r="22" spans="4:8" x14ac:dyDescent="0.25">
      <c r="H22" s="4">
        <f t="shared" si="0"/>
        <v>0</v>
      </c>
    </row>
    <row r="23" spans="4:8" x14ac:dyDescent="0.25">
      <c r="D23" s="6"/>
      <c r="H23" s="4">
        <f t="shared" si="0"/>
        <v>0</v>
      </c>
    </row>
    <row r="24" spans="4:8" x14ac:dyDescent="0.25">
      <c r="H24" s="4">
        <f t="shared" si="0"/>
        <v>0</v>
      </c>
    </row>
    <row r="25" spans="4:8" x14ac:dyDescent="0.25">
      <c r="H25" s="4">
        <f t="shared" si="0"/>
        <v>0</v>
      </c>
    </row>
    <row r="26" spans="4:8" x14ac:dyDescent="0.25">
      <c r="H26" s="4">
        <f t="shared" si="0"/>
        <v>0</v>
      </c>
    </row>
    <row r="27" spans="4:8" x14ac:dyDescent="0.25">
      <c r="H27" s="4">
        <f t="shared" si="0"/>
        <v>0</v>
      </c>
    </row>
    <row r="28" spans="4:8" x14ac:dyDescent="0.25">
      <c r="H28" s="4">
        <f t="shared" si="0"/>
        <v>0</v>
      </c>
    </row>
    <row r="29" spans="4:8" x14ac:dyDescent="0.25">
      <c r="H29" s="4">
        <f t="shared" si="0"/>
        <v>0</v>
      </c>
    </row>
    <row r="30" spans="4:8" x14ac:dyDescent="0.25">
      <c r="H30" s="4">
        <f t="shared" si="0"/>
        <v>0</v>
      </c>
    </row>
    <row r="31" spans="4:8" x14ac:dyDescent="0.25">
      <c r="H31" s="4">
        <f t="shared" si="0"/>
        <v>0</v>
      </c>
    </row>
    <row r="32" spans="4:8" x14ac:dyDescent="0.25">
      <c r="H32" s="4">
        <f t="shared" si="0"/>
        <v>0</v>
      </c>
    </row>
    <row r="33" spans="8:8" x14ac:dyDescent="0.25">
      <c r="H33" s="4">
        <f t="shared" si="0"/>
        <v>0</v>
      </c>
    </row>
    <row r="34" spans="8:8" x14ac:dyDescent="0.25">
      <c r="H34" s="4">
        <f t="shared" si="0"/>
        <v>0</v>
      </c>
    </row>
    <row r="35" spans="8:8" x14ac:dyDescent="0.25">
      <c r="H35" s="4">
        <f t="shared" si="0"/>
        <v>0</v>
      </c>
    </row>
    <row r="36" spans="8:8" x14ac:dyDescent="0.25">
      <c r="H36" s="4">
        <f t="shared" si="0"/>
        <v>0</v>
      </c>
    </row>
    <row r="37" spans="8:8" x14ac:dyDescent="0.25">
      <c r="H37" s="4">
        <f t="shared" si="0"/>
        <v>0</v>
      </c>
    </row>
    <row r="38" spans="8:8" x14ac:dyDescent="0.25">
      <c r="H38" s="4">
        <f t="shared" si="0"/>
        <v>0</v>
      </c>
    </row>
    <row r="39" spans="8:8" x14ac:dyDescent="0.25">
      <c r="H39" s="4">
        <f t="shared" si="0"/>
        <v>0</v>
      </c>
    </row>
    <row r="40" spans="8:8" x14ac:dyDescent="0.25">
      <c r="H40" s="4">
        <f t="shared" si="0"/>
        <v>0</v>
      </c>
    </row>
    <row r="41" spans="8:8" x14ac:dyDescent="0.25">
      <c r="H41" s="4">
        <f t="shared" si="0"/>
        <v>0</v>
      </c>
    </row>
    <row r="42" spans="8:8" x14ac:dyDescent="0.25">
      <c r="H42" s="4">
        <f t="shared" si="0"/>
        <v>0</v>
      </c>
    </row>
    <row r="43" spans="8:8" x14ac:dyDescent="0.25">
      <c r="H43" s="4">
        <f t="shared" si="0"/>
        <v>0</v>
      </c>
    </row>
    <row r="44" spans="8:8" x14ac:dyDescent="0.25">
      <c r="H44" s="4">
        <f t="shared" si="0"/>
        <v>0</v>
      </c>
    </row>
    <row r="45" spans="8:8" x14ac:dyDescent="0.25">
      <c r="H45" s="4">
        <f t="shared" si="0"/>
        <v>0</v>
      </c>
    </row>
    <row r="46" spans="8:8" x14ac:dyDescent="0.25">
      <c r="H46" s="4">
        <f t="shared" si="0"/>
        <v>0</v>
      </c>
    </row>
    <row r="47" spans="8:8" x14ac:dyDescent="0.25">
      <c r="H47" s="4">
        <f t="shared" si="0"/>
        <v>0</v>
      </c>
    </row>
    <row r="48" spans="8:8" x14ac:dyDescent="0.25">
      <c r="H48" s="4">
        <f t="shared" si="0"/>
        <v>0</v>
      </c>
    </row>
    <row r="49" spans="5:8" x14ac:dyDescent="0.25">
      <c r="H49" s="4">
        <f t="shared" si="0"/>
        <v>0</v>
      </c>
    </row>
    <row r="50" spans="5:8" x14ac:dyDescent="0.25"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E108" s="4"/>
      <c r="H108" s="4">
        <f t="shared" si="1"/>
        <v>0</v>
      </c>
    </row>
    <row r="109" spans="5:8" x14ac:dyDescent="0.25">
      <c r="E109" s="4"/>
      <c r="H109" s="4">
        <f t="shared" si="1"/>
        <v>0</v>
      </c>
    </row>
    <row r="110" spans="5:8" x14ac:dyDescent="0.25">
      <c r="E110" s="4"/>
      <c r="H110" s="4">
        <f t="shared" si="1"/>
        <v>0</v>
      </c>
    </row>
    <row r="111" spans="5:8" x14ac:dyDescent="0.25"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E125" s="3"/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8">
    <sortCondition ref="B2:B128"/>
    <sortCondition ref="D2:D128"/>
  </sortState>
  <conditionalFormatting sqref="G2:G151">
    <cfRule type="cellIs" dxfId="13" priority="2" operator="equal">
      <formula>0</formula>
    </cfRule>
  </conditionalFormatting>
  <conditionalFormatting sqref="H2:H151">
    <cfRule type="cellIs" dxfId="12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48EB-12C1-41E4-8F2D-9CBEB6019AE2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Summary'!A9</f>
        <v>45478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8:8" x14ac:dyDescent="0.25">
      <c r="H33" s="4">
        <f t="shared" si="0"/>
        <v>0</v>
      </c>
    </row>
    <row r="34" spans="8:8" x14ac:dyDescent="0.25">
      <c r="H34" s="4">
        <f t="shared" si="0"/>
        <v>0</v>
      </c>
    </row>
    <row r="35" spans="8:8" x14ac:dyDescent="0.25">
      <c r="H35" s="4">
        <f t="shared" si="0"/>
        <v>0</v>
      </c>
    </row>
    <row r="36" spans="8:8" x14ac:dyDescent="0.25">
      <c r="H36" s="4">
        <f t="shared" si="0"/>
        <v>0</v>
      </c>
    </row>
    <row r="37" spans="8:8" x14ac:dyDescent="0.25">
      <c r="H37" s="4">
        <f t="shared" si="0"/>
        <v>0</v>
      </c>
    </row>
    <row r="38" spans="8:8" x14ac:dyDescent="0.25">
      <c r="H38" s="4">
        <f t="shared" si="0"/>
        <v>0</v>
      </c>
    </row>
    <row r="39" spans="8:8" x14ac:dyDescent="0.25">
      <c r="H39" s="4">
        <f t="shared" si="0"/>
        <v>0</v>
      </c>
    </row>
    <row r="40" spans="8:8" x14ac:dyDescent="0.25">
      <c r="H40" s="4">
        <f t="shared" si="0"/>
        <v>0</v>
      </c>
    </row>
    <row r="41" spans="8:8" x14ac:dyDescent="0.25">
      <c r="H41" s="4">
        <f t="shared" si="0"/>
        <v>0</v>
      </c>
    </row>
    <row r="42" spans="8:8" x14ac:dyDescent="0.25">
      <c r="H42" s="4">
        <f t="shared" si="0"/>
        <v>0</v>
      </c>
    </row>
    <row r="43" spans="8:8" x14ac:dyDescent="0.25">
      <c r="H43" s="4">
        <f t="shared" si="0"/>
        <v>0</v>
      </c>
    </row>
    <row r="44" spans="8:8" x14ac:dyDescent="0.25">
      <c r="H44" s="4">
        <f t="shared" si="0"/>
        <v>0</v>
      </c>
    </row>
    <row r="45" spans="8:8" x14ac:dyDescent="0.25">
      <c r="H45" s="4">
        <f t="shared" si="0"/>
        <v>0</v>
      </c>
    </row>
    <row r="46" spans="8:8" x14ac:dyDescent="0.25">
      <c r="H46" s="4">
        <f t="shared" si="0"/>
        <v>0</v>
      </c>
    </row>
    <row r="47" spans="8:8" x14ac:dyDescent="0.25">
      <c r="H47" s="4">
        <f t="shared" si="0"/>
        <v>0</v>
      </c>
    </row>
    <row r="48" spans="8:8" x14ac:dyDescent="0.25">
      <c r="H48" s="4">
        <f t="shared" si="0"/>
        <v>0</v>
      </c>
    </row>
    <row r="49" spans="5:8" x14ac:dyDescent="0.25"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E108" s="4"/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E125" s="3"/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8">
    <sortCondition ref="B2:B128"/>
    <sortCondition ref="D2:D128"/>
  </sortState>
  <conditionalFormatting sqref="G2:G151">
    <cfRule type="cellIs" dxfId="11" priority="2" operator="equal">
      <formula>0</formula>
    </cfRule>
  </conditionalFormatting>
  <conditionalFormatting sqref="H2:H151">
    <cfRule type="cellIs" dxfId="10" priority="1" operator="equal">
      <formula>0</formula>
    </cfRule>
  </conditionalFormatting>
  <dataValidations count="1">
    <dataValidation allowBlank="1" showInputMessage="1" showErrorMessage="1" sqref="E2" xr:uid="{EA930E58-13B3-4D7F-8AC6-2DB4775C965D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F9A9-CC73-443D-B694-6A87FD2DD88D}">
  <dimension ref="A1:O151"/>
  <sheetViews>
    <sheetView workbookViewId="0">
      <selection activeCell="A3" sqref="A3"/>
    </sheetView>
  </sheetViews>
  <sheetFormatPr defaultRowHeight="15" x14ac:dyDescent="0.25"/>
  <cols>
    <col min="2" max="2" width="14.140625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Summary'!A10</f>
        <v>45509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5:8" x14ac:dyDescent="0.25">
      <c r="H33" s="4">
        <f t="shared" si="0"/>
        <v>0</v>
      </c>
    </row>
    <row r="34" spans="5:8" x14ac:dyDescent="0.25">
      <c r="H34" s="4">
        <f t="shared" si="0"/>
        <v>0</v>
      </c>
    </row>
    <row r="35" spans="5:8" x14ac:dyDescent="0.25">
      <c r="H35" s="4">
        <f t="shared" si="0"/>
        <v>0</v>
      </c>
    </row>
    <row r="36" spans="5:8" x14ac:dyDescent="0.25">
      <c r="H36" s="4">
        <f t="shared" si="0"/>
        <v>0</v>
      </c>
    </row>
    <row r="37" spans="5:8" x14ac:dyDescent="0.25">
      <c r="H37" s="4">
        <f t="shared" si="0"/>
        <v>0</v>
      </c>
    </row>
    <row r="38" spans="5:8" x14ac:dyDescent="0.25">
      <c r="H38" s="4">
        <f t="shared" si="0"/>
        <v>0</v>
      </c>
    </row>
    <row r="39" spans="5:8" x14ac:dyDescent="0.25">
      <c r="H39" s="4">
        <f t="shared" si="0"/>
        <v>0</v>
      </c>
    </row>
    <row r="40" spans="5:8" x14ac:dyDescent="0.25">
      <c r="H40" s="4">
        <f t="shared" si="0"/>
        <v>0</v>
      </c>
    </row>
    <row r="41" spans="5:8" x14ac:dyDescent="0.25">
      <c r="H41" s="4">
        <f t="shared" si="0"/>
        <v>0</v>
      </c>
    </row>
    <row r="42" spans="5:8" x14ac:dyDescent="0.25">
      <c r="H42" s="4">
        <f t="shared" si="0"/>
        <v>0</v>
      </c>
    </row>
    <row r="43" spans="5:8" x14ac:dyDescent="0.25">
      <c r="H43" s="4">
        <f t="shared" si="0"/>
        <v>0</v>
      </c>
    </row>
    <row r="44" spans="5:8" x14ac:dyDescent="0.25">
      <c r="H44" s="4">
        <f t="shared" si="0"/>
        <v>0</v>
      </c>
    </row>
    <row r="45" spans="5:8" x14ac:dyDescent="0.25"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H47" s="4">
        <f t="shared" si="0"/>
        <v>0</v>
      </c>
    </row>
    <row r="48" spans="5:8" x14ac:dyDescent="0.25"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8">
    <sortCondition ref="B2:B128"/>
    <sortCondition ref="D2:D128"/>
  </sortState>
  <conditionalFormatting sqref="G2:G151">
    <cfRule type="cellIs" dxfId="9" priority="2" operator="equal">
      <formula>0</formula>
    </cfRule>
  </conditionalFormatting>
  <conditionalFormatting sqref="H2:H151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3057-3492-4F9E-9A75-473F551CA4FD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Summary'!A11</f>
        <v>45540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8:8" x14ac:dyDescent="0.25">
      <c r="H33" s="4">
        <f t="shared" si="0"/>
        <v>0</v>
      </c>
    </row>
    <row r="34" spans="8:8" x14ac:dyDescent="0.25">
      <c r="H34" s="4">
        <f t="shared" si="0"/>
        <v>0</v>
      </c>
    </row>
    <row r="35" spans="8:8" x14ac:dyDescent="0.25">
      <c r="H35" s="4">
        <f t="shared" si="0"/>
        <v>0</v>
      </c>
    </row>
    <row r="36" spans="8:8" x14ac:dyDescent="0.25">
      <c r="H36" s="4">
        <f t="shared" si="0"/>
        <v>0</v>
      </c>
    </row>
    <row r="37" spans="8:8" x14ac:dyDescent="0.25">
      <c r="H37" s="4">
        <f t="shared" si="0"/>
        <v>0</v>
      </c>
    </row>
    <row r="38" spans="8:8" x14ac:dyDescent="0.25">
      <c r="H38" s="4">
        <f t="shared" si="0"/>
        <v>0</v>
      </c>
    </row>
    <row r="39" spans="8:8" x14ac:dyDescent="0.25">
      <c r="H39" s="4">
        <f t="shared" si="0"/>
        <v>0</v>
      </c>
    </row>
    <row r="40" spans="8:8" x14ac:dyDescent="0.25">
      <c r="H40" s="4">
        <f t="shared" si="0"/>
        <v>0</v>
      </c>
    </row>
    <row r="41" spans="8:8" x14ac:dyDescent="0.25">
      <c r="H41" s="4">
        <f t="shared" si="0"/>
        <v>0</v>
      </c>
    </row>
    <row r="42" spans="8:8" x14ac:dyDescent="0.25">
      <c r="H42" s="4">
        <f t="shared" si="0"/>
        <v>0</v>
      </c>
    </row>
    <row r="43" spans="8:8" x14ac:dyDescent="0.25">
      <c r="H43" s="4">
        <f t="shared" si="0"/>
        <v>0</v>
      </c>
    </row>
    <row r="44" spans="8:8" x14ac:dyDescent="0.25">
      <c r="H44" s="4">
        <f t="shared" si="0"/>
        <v>0</v>
      </c>
    </row>
    <row r="45" spans="8:8" x14ac:dyDescent="0.25">
      <c r="H45" s="4">
        <f t="shared" si="0"/>
        <v>0</v>
      </c>
    </row>
    <row r="46" spans="8:8" x14ac:dyDescent="0.25">
      <c r="H46" s="4">
        <f t="shared" si="0"/>
        <v>0</v>
      </c>
    </row>
    <row r="47" spans="8:8" x14ac:dyDescent="0.25">
      <c r="H47" s="4">
        <f t="shared" si="0"/>
        <v>0</v>
      </c>
    </row>
    <row r="48" spans="8:8" x14ac:dyDescent="0.25">
      <c r="H48" s="4">
        <f t="shared" si="0"/>
        <v>0</v>
      </c>
    </row>
    <row r="49" spans="5:8" x14ac:dyDescent="0.25">
      <c r="H49" s="4">
        <f t="shared" si="0"/>
        <v>0</v>
      </c>
    </row>
    <row r="50" spans="5:8" x14ac:dyDescent="0.25"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4"/>
      <c r="H104" s="4">
        <f t="shared" si="1"/>
        <v>0</v>
      </c>
    </row>
    <row r="105" spans="5:8" x14ac:dyDescent="0.25">
      <c r="E105" s="4"/>
      <c r="H105" s="4">
        <f t="shared" si="1"/>
        <v>0</v>
      </c>
    </row>
    <row r="106" spans="5:8" x14ac:dyDescent="0.25">
      <c r="E106" s="4"/>
      <c r="H106" s="4">
        <f t="shared" si="1"/>
        <v>0</v>
      </c>
    </row>
    <row r="107" spans="5:8" x14ac:dyDescent="0.25">
      <c r="E107" s="4"/>
      <c r="H107" s="4">
        <f t="shared" si="1"/>
        <v>0</v>
      </c>
    </row>
    <row r="108" spans="5:8" x14ac:dyDescent="0.25">
      <c r="E108" s="3"/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4">
    <sortCondition ref="B2:B124"/>
    <sortCondition ref="D2:D124"/>
  </sortState>
  <conditionalFormatting sqref="G2:G151">
    <cfRule type="cellIs" dxfId="7" priority="2" operator="equal">
      <formula>0</formula>
    </cfRule>
  </conditionalFormatting>
  <conditionalFormatting sqref="H2:H151">
    <cfRule type="cellIs" dxfId="6" priority="1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D6EF-DF30-4172-9C6F-434E3898B5AE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Summary'!A12</f>
        <v>45571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H11" s="4">
        <f t="shared" si="0"/>
        <v>0</v>
      </c>
    </row>
    <row r="12" spans="1:15" x14ac:dyDescent="0.25">
      <c r="H12" s="4">
        <f t="shared" si="0"/>
        <v>0</v>
      </c>
      <c r="N12" s="2" t="s">
        <v>15</v>
      </c>
    </row>
    <row r="13" spans="1:15" x14ac:dyDescent="0.25">
      <c r="H13" s="4">
        <f t="shared" si="0"/>
        <v>0</v>
      </c>
      <c r="N13" s="9">
        <f>SUM(E2:E1000)</f>
        <v>0</v>
      </c>
    </row>
    <row r="14" spans="1:15" x14ac:dyDescent="0.25">
      <c r="H14" s="4">
        <f t="shared" si="0"/>
        <v>0</v>
      </c>
    </row>
    <row r="15" spans="1:15" x14ac:dyDescent="0.25">
      <c r="H15" s="4">
        <f t="shared" si="0"/>
        <v>0</v>
      </c>
    </row>
    <row r="16" spans="1:15" x14ac:dyDescent="0.25">
      <c r="H16" s="4">
        <f t="shared" si="0"/>
        <v>0</v>
      </c>
    </row>
    <row r="17" spans="8:8" x14ac:dyDescent="0.25">
      <c r="H17" s="4">
        <f t="shared" si="0"/>
        <v>0</v>
      </c>
    </row>
    <row r="18" spans="8:8" x14ac:dyDescent="0.25">
      <c r="H18" s="4">
        <f t="shared" si="0"/>
        <v>0</v>
      </c>
    </row>
    <row r="19" spans="8:8" x14ac:dyDescent="0.25">
      <c r="H19" s="4">
        <f t="shared" si="0"/>
        <v>0</v>
      </c>
    </row>
    <row r="20" spans="8:8" x14ac:dyDescent="0.25">
      <c r="H20" s="4">
        <f t="shared" si="0"/>
        <v>0</v>
      </c>
    </row>
    <row r="21" spans="8:8" x14ac:dyDescent="0.25">
      <c r="H21" s="4">
        <f t="shared" si="0"/>
        <v>0</v>
      </c>
    </row>
    <row r="22" spans="8:8" x14ac:dyDescent="0.25">
      <c r="H22" s="4">
        <f t="shared" si="0"/>
        <v>0</v>
      </c>
    </row>
    <row r="23" spans="8:8" x14ac:dyDescent="0.25">
      <c r="H23" s="4">
        <f t="shared" si="0"/>
        <v>0</v>
      </c>
    </row>
    <row r="24" spans="8:8" x14ac:dyDescent="0.25">
      <c r="H24" s="4">
        <f t="shared" si="0"/>
        <v>0</v>
      </c>
    </row>
    <row r="25" spans="8:8" x14ac:dyDescent="0.25">
      <c r="H25" s="4">
        <f t="shared" si="0"/>
        <v>0</v>
      </c>
    </row>
    <row r="26" spans="8:8" x14ac:dyDescent="0.25">
      <c r="H26" s="4">
        <f t="shared" si="0"/>
        <v>0</v>
      </c>
    </row>
    <row r="27" spans="8:8" x14ac:dyDescent="0.25">
      <c r="H27" s="4">
        <f t="shared" si="0"/>
        <v>0</v>
      </c>
    </row>
    <row r="28" spans="8:8" x14ac:dyDescent="0.25">
      <c r="H28" s="4">
        <f t="shared" si="0"/>
        <v>0</v>
      </c>
    </row>
    <row r="29" spans="8:8" x14ac:dyDescent="0.25">
      <c r="H29" s="4">
        <f t="shared" si="0"/>
        <v>0</v>
      </c>
    </row>
    <row r="30" spans="8:8" x14ac:dyDescent="0.25">
      <c r="H30" s="4">
        <f t="shared" si="0"/>
        <v>0</v>
      </c>
    </row>
    <row r="31" spans="8:8" x14ac:dyDescent="0.25">
      <c r="H31" s="4">
        <f t="shared" si="0"/>
        <v>0</v>
      </c>
    </row>
    <row r="32" spans="8:8" x14ac:dyDescent="0.25">
      <c r="H32" s="4">
        <f t="shared" si="0"/>
        <v>0</v>
      </c>
    </row>
    <row r="33" spans="5:8" x14ac:dyDescent="0.25">
      <c r="H33" s="4">
        <f t="shared" si="0"/>
        <v>0</v>
      </c>
    </row>
    <row r="34" spans="5:8" x14ac:dyDescent="0.25">
      <c r="H34" s="4">
        <f t="shared" si="0"/>
        <v>0</v>
      </c>
    </row>
    <row r="35" spans="5:8" x14ac:dyDescent="0.25">
      <c r="H35" s="4">
        <f t="shared" si="0"/>
        <v>0</v>
      </c>
    </row>
    <row r="36" spans="5:8" x14ac:dyDescent="0.25">
      <c r="H36" s="4">
        <f t="shared" si="0"/>
        <v>0</v>
      </c>
    </row>
    <row r="37" spans="5:8" x14ac:dyDescent="0.25">
      <c r="H37" s="4">
        <f t="shared" si="0"/>
        <v>0</v>
      </c>
    </row>
    <row r="38" spans="5:8" x14ac:dyDescent="0.25">
      <c r="H38" s="4">
        <f t="shared" si="0"/>
        <v>0</v>
      </c>
    </row>
    <row r="39" spans="5:8" x14ac:dyDescent="0.25">
      <c r="H39" s="4">
        <f t="shared" si="0"/>
        <v>0</v>
      </c>
    </row>
    <row r="40" spans="5:8" x14ac:dyDescent="0.25">
      <c r="H40" s="4">
        <f t="shared" si="0"/>
        <v>0</v>
      </c>
    </row>
    <row r="41" spans="5:8" x14ac:dyDescent="0.25">
      <c r="H41" s="4">
        <f t="shared" si="0"/>
        <v>0</v>
      </c>
    </row>
    <row r="42" spans="5:8" x14ac:dyDescent="0.25">
      <c r="H42" s="4">
        <f t="shared" si="0"/>
        <v>0</v>
      </c>
    </row>
    <row r="43" spans="5:8" x14ac:dyDescent="0.25">
      <c r="H43" s="4">
        <f t="shared" si="0"/>
        <v>0</v>
      </c>
    </row>
    <row r="44" spans="5:8" x14ac:dyDescent="0.25">
      <c r="H44" s="4">
        <f t="shared" si="0"/>
        <v>0</v>
      </c>
    </row>
    <row r="45" spans="5:8" x14ac:dyDescent="0.25"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E47" s="4"/>
      <c r="H47" s="4">
        <f t="shared" si="0"/>
        <v>0</v>
      </c>
    </row>
    <row r="48" spans="5:8" x14ac:dyDescent="0.25">
      <c r="E48" s="4"/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F98" s="5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H102" s="4">
        <f t="shared" si="1"/>
        <v>0</v>
      </c>
    </row>
    <row r="103" spans="5:8" x14ac:dyDescent="0.25">
      <c r="E103" s="3"/>
      <c r="H103" s="4">
        <f t="shared" si="1"/>
        <v>0</v>
      </c>
    </row>
    <row r="104" spans="5:8" x14ac:dyDescent="0.25">
      <c r="E104" s="3"/>
      <c r="H104" s="4">
        <f t="shared" si="1"/>
        <v>0</v>
      </c>
    </row>
    <row r="105" spans="5:8" x14ac:dyDescent="0.25">
      <c r="E105" s="3"/>
      <c r="H105" s="4">
        <f t="shared" si="1"/>
        <v>0</v>
      </c>
    </row>
    <row r="106" spans="5:8" x14ac:dyDescent="0.25">
      <c r="E106" s="3"/>
      <c r="H106" s="4">
        <f t="shared" si="1"/>
        <v>0</v>
      </c>
    </row>
    <row r="107" spans="5:8" x14ac:dyDescent="0.25">
      <c r="E107" s="3"/>
      <c r="H107" s="4">
        <f t="shared" si="1"/>
        <v>0</v>
      </c>
    </row>
    <row r="108" spans="5:8" x14ac:dyDescent="0.25">
      <c r="E108" s="3"/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4">
    <sortCondition ref="B2:B124"/>
    <sortCondition ref="D2:D124"/>
  </sortState>
  <conditionalFormatting sqref="G2:G151">
    <cfRule type="cellIs" dxfId="5" priority="2" operator="equal">
      <formula>0</formula>
    </cfRule>
  </conditionalFormatting>
  <conditionalFormatting sqref="H2:H151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C95A-3245-4A28-A9AC-B2C2549F6069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Summary'!A13</f>
        <v>45602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E10" s="4"/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E11" s="4"/>
      <c r="H11" s="4">
        <f t="shared" si="0"/>
        <v>0</v>
      </c>
    </row>
    <row r="12" spans="1:15" x14ac:dyDescent="0.25">
      <c r="E12" s="4"/>
      <c r="H12" s="4">
        <f t="shared" si="0"/>
        <v>0</v>
      </c>
      <c r="N12" s="2" t="s">
        <v>15</v>
      </c>
    </row>
    <row r="13" spans="1:15" x14ac:dyDescent="0.25">
      <c r="E13" s="4"/>
      <c r="H13" s="4">
        <f t="shared" si="0"/>
        <v>0</v>
      </c>
      <c r="N13" s="9">
        <f>SUM(E2:E1000)</f>
        <v>0</v>
      </c>
    </row>
    <row r="14" spans="1:15" x14ac:dyDescent="0.25">
      <c r="E14" s="4"/>
      <c r="H14" s="4">
        <f t="shared" si="0"/>
        <v>0</v>
      </c>
    </row>
    <row r="15" spans="1:15" x14ac:dyDescent="0.25">
      <c r="E15" s="4"/>
      <c r="H15" s="4">
        <f t="shared" si="0"/>
        <v>0</v>
      </c>
    </row>
    <row r="16" spans="1:15" x14ac:dyDescent="0.25">
      <c r="E16" s="4"/>
      <c r="H16" s="4">
        <f t="shared" si="0"/>
        <v>0</v>
      </c>
    </row>
    <row r="17" spans="5:8" x14ac:dyDescent="0.25">
      <c r="E17" s="4"/>
      <c r="H17" s="4">
        <f t="shared" si="0"/>
        <v>0</v>
      </c>
    </row>
    <row r="18" spans="5:8" x14ac:dyDescent="0.25">
      <c r="E18" s="4"/>
      <c r="H18" s="4">
        <f t="shared" si="0"/>
        <v>0</v>
      </c>
    </row>
    <row r="19" spans="5:8" x14ac:dyDescent="0.25">
      <c r="E19" s="4"/>
      <c r="H19" s="4">
        <f t="shared" si="0"/>
        <v>0</v>
      </c>
    </row>
    <row r="20" spans="5:8" x14ac:dyDescent="0.25">
      <c r="E20" s="4"/>
      <c r="H20" s="4">
        <f t="shared" si="0"/>
        <v>0</v>
      </c>
    </row>
    <row r="21" spans="5:8" x14ac:dyDescent="0.25">
      <c r="E21" s="4"/>
      <c r="H21" s="4">
        <f t="shared" si="0"/>
        <v>0</v>
      </c>
    </row>
    <row r="22" spans="5:8" x14ac:dyDescent="0.25">
      <c r="E22" s="4"/>
      <c r="H22" s="4">
        <f t="shared" si="0"/>
        <v>0</v>
      </c>
    </row>
    <row r="23" spans="5:8" x14ac:dyDescent="0.25">
      <c r="E23" s="4"/>
      <c r="H23" s="4">
        <f t="shared" si="0"/>
        <v>0</v>
      </c>
    </row>
    <row r="24" spans="5:8" x14ac:dyDescent="0.25">
      <c r="E24" s="4"/>
      <c r="H24" s="4">
        <f t="shared" si="0"/>
        <v>0</v>
      </c>
    </row>
    <row r="25" spans="5:8" x14ac:dyDescent="0.25">
      <c r="E25" s="4"/>
      <c r="H25" s="4">
        <f t="shared" si="0"/>
        <v>0</v>
      </c>
    </row>
    <row r="26" spans="5:8" x14ac:dyDescent="0.25">
      <c r="E26" s="4"/>
      <c r="H26" s="4">
        <f t="shared" si="0"/>
        <v>0</v>
      </c>
    </row>
    <row r="27" spans="5:8" x14ac:dyDescent="0.25">
      <c r="E27" s="4"/>
      <c r="H27" s="4">
        <f t="shared" si="0"/>
        <v>0</v>
      </c>
    </row>
    <row r="28" spans="5:8" x14ac:dyDescent="0.25">
      <c r="E28" s="4"/>
      <c r="H28" s="4">
        <f t="shared" si="0"/>
        <v>0</v>
      </c>
    </row>
    <row r="29" spans="5:8" x14ac:dyDescent="0.25">
      <c r="E29" s="4"/>
      <c r="H29" s="4">
        <f t="shared" si="0"/>
        <v>0</v>
      </c>
    </row>
    <row r="30" spans="5:8" x14ac:dyDescent="0.25">
      <c r="E30" s="4"/>
      <c r="H30" s="4">
        <f t="shared" si="0"/>
        <v>0</v>
      </c>
    </row>
    <row r="31" spans="5:8" x14ac:dyDescent="0.25">
      <c r="E31" s="4"/>
      <c r="H31" s="4">
        <f t="shared" si="0"/>
        <v>0</v>
      </c>
    </row>
    <row r="32" spans="5:8" x14ac:dyDescent="0.25">
      <c r="E32" s="4"/>
      <c r="H32" s="4">
        <f t="shared" si="0"/>
        <v>0</v>
      </c>
    </row>
    <row r="33" spans="5:8" x14ac:dyDescent="0.25">
      <c r="E33" s="4"/>
      <c r="H33" s="4">
        <f t="shared" si="0"/>
        <v>0</v>
      </c>
    </row>
    <row r="34" spans="5:8" x14ac:dyDescent="0.25">
      <c r="E34" s="4"/>
      <c r="H34" s="4">
        <f t="shared" si="0"/>
        <v>0</v>
      </c>
    </row>
    <row r="35" spans="5:8" x14ac:dyDescent="0.25">
      <c r="E35" s="4"/>
      <c r="H35" s="4">
        <f t="shared" si="0"/>
        <v>0</v>
      </c>
    </row>
    <row r="36" spans="5:8" x14ac:dyDescent="0.25">
      <c r="E36" s="4"/>
      <c r="H36" s="4">
        <f t="shared" si="0"/>
        <v>0</v>
      </c>
    </row>
    <row r="37" spans="5:8" x14ac:dyDescent="0.25">
      <c r="E37" s="4"/>
      <c r="H37" s="4">
        <f t="shared" si="0"/>
        <v>0</v>
      </c>
    </row>
    <row r="38" spans="5:8" x14ac:dyDescent="0.25">
      <c r="E38" s="4"/>
      <c r="H38" s="4">
        <f t="shared" si="0"/>
        <v>0</v>
      </c>
    </row>
    <row r="39" spans="5:8" x14ac:dyDescent="0.25">
      <c r="E39" s="4"/>
      <c r="H39" s="4">
        <f t="shared" si="0"/>
        <v>0</v>
      </c>
    </row>
    <row r="40" spans="5:8" x14ac:dyDescent="0.25">
      <c r="E40" s="4"/>
      <c r="H40" s="4">
        <f t="shared" si="0"/>
        <v>0</v>
      </c>
    </row>
    <row r="41" spans="5:8" x14ac:dyDescent="0.25">
      <c r="E41" s="4"/>
      <c r="H41" s="4">
        <f t="shared" si="0"/>
        <v>0</v>
      </c>
    </row>
    <row r="42" spans="5:8" x14ac:dyDescent="0.25">
      <c r="E42" s="4"/>
      <c r="H42" s="4">
        <f t="shared" si="0"/>
        <v>0</v>
      </c>
    </row>
    <row r="43" spans="5:8" x14ac:dyDescent="0.25">
      <c r="H43" s="4">
        <f t="shared" si="0"/>
        <v>0</v>
      </c>
    </row>
    <row r="44" spans="5:8" x14ac:dyDescent="0.25">
      <c r="H44" s="4">
        <f t="shared" si="0"/>
        <v>0</v>
      </c>
    </row>
    <row r="45" spans="5:8" x14ac:dyDescent="0.25">
      <c r="E45" s="4"/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E47" s="4"/>
      <c r="H47" s="4">
        <f t="shared" si="0"/>
        <v>0</v>
      </c>
    </row>
    <row r="48" spans="5:8" x14ac:dyDescent="0.25">
      <c r="E48" s="4"/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F98" s="5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3"/>
      <c r="H102" s="4">
        <f t="shared" si="1"/>
        <v>0</v>
      </c>
    </row>
    <row r="103" spans="5:8" x14ac:dyDescent="0.25">
      <c r="E103" s="3"/>
      <c r="H103" s="4">
        <f t="shared" si="1"/>
        <v>0</v>
      </c>
    </row>
    <row r="104" spans="5:8" x14ac:dyDescent="0.25">
      <c r="E104" s="3"/>
      <c r="H104" s="4">
        <f t="shared" si="1"/>
        <v>0</v>
      </c>
    </row>
    <row r="105" spans="5:8" x14ac:dyDescent="0.25">
      <c r="E105" s="3"/>
      <c r="H105" s="4">
        <f t="shared" si="1"/>
        <v>0</v>
      </c>
    </row>
    <row r="106" spans="5:8" x14ac:dyDescent="0.25">
      <c r="E106" s="3"/>
      <c r="H106" s="4">
        <f t="shared" si="1"/>
        <v>0</v>
      </c>
    </row>
    <row r="107" spans="5:8" x14ac:dyDescent="0.25">
      <c r="E107" s="3"/>
      <c r="H107" s="4">
        <f t="shared" si="1"/>
        <v>0</v>
      </c>
    </row>
    <row r="108" spans="5:8" x14ac:dyDescent="0.25">
      <c r="E108" s="3"/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E119" s="3"/>
      <c r="H119" s="4">
        <f t="shared" si="1"/>
        <v>0</v>
      </c>
    </row>
    <row r="120" spans="5:8" x14ac:dyDescent="0.25">
      <c r="E120" s="3"/>
      <c r="H120" s="4">
        <f t="shared" si="1"/>
        <v>0</v>
      </c>
    </row>
    <row r="121" spans="5:8" x14ac:dyDescent="0.25">
      <c r="E121" s="3"/>
      <c r="H121" s="4">
        <f t="shared" si="1"/>
        <v>0</v>
      </c>
    </row>
    <row r="122" spans="5:8" x14ac:dyDescent="0.25">
      <c r="E122" s="3"/>
      <c r="H122" s="4">
        <f t="shared" si="1"/>
        <v>0</v>
      </c>
    </row>
    <row r="123" spans="5:8" x14ac:dyDescent="0.25">
      <c r="E123" s="3"/>
      <c r="H123" s="4">
        <f t="shared" si="1"/>
        <v>0</v>
      </c>
    </row>
    <row r="124" spans="5:8" x14ac:dyDescent="0.25">
      <c r="E124" s="3"/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24">
    <sortCondition ref="B2:B124"/>
    <sortCondition ref="D2:D124"/>
  </sortState>
  <conditionalFormatting sqref="G2:G151">
    <cfRule type="cellIs" dxfId="3" priority="2" operator="equal">
      <formula>0</formula>
    </cfRule>
  </conditionalFormatting>
  <conditionalFormatting sqref="H2:H151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4490-716A-4B19-AC20-A803A9BEBB0E}">
  <dimension ref="A1:O151"/>
  <sheetViews>
    <sheetView workbookViewId="0">
      <selection activeCell="A3" sqref="A3"/>
    </sheetView>
  </sheetViews>
  <sheetFormatPr defaultRowHeight="15" x14ac:dyDescent="0.25"/>
  <cols>
    <col min="2" max="2" width="14.140625" bestFit="1" customWidth="1"/>
    <col min="3" max="3" width="20" customWidth="1"/>
    <col min="4" max="4" width="26.42578125" customWidth="1"/>
    <col min="5" max="6" width="14.42578125" customWidth="1"/>
    <col min="7" max="7" width="26.42578125" customWidth="1"/>
    <col min="8" max="9" width="14.42578125" customWidth="1"/>
    <col min="14" max="14" width="22.85546875" customWidth="1"/>
  </cols>
  <sheetData>
    <row r="1" spans="1:15" x14ac:dyDescent="0.25">
      <c r="A1" s="2" t="s">
        <v>1</v>
      </c>
      <c r="B1" s="2" t="s">
        <v>2</v>
      </c>
      <c r="C1" s="2" t="s">
        <v>24</v>
      </c>
      <c r="D1" s="2" t="s">
        <v>3</v>
      </c>
      <c r="E1" s="7" t="s">
        <v>4</v>
      </c>
      <c r="G1" s="2" t="s">
        <v>12</v>
      </c>
      <c r="H1" s="2" t="s">
        <v>4</v>
      </c>
      <c r="I1" s="2" t="s">
        <v>5</v>
      </c>
      <c r="N1" s="2" t="s">
        <v>13</v>
      </c>
      <c r="O1" s="2" t="s">
        <v>4</v>
      </c>
    </row>
    <row r="2" spans="1:15" x14ac:dyDescent="0.25">
      <c r="A2" s="1">
        <f>'2024 Summary'!A14</f>
        <v>45633</v>
      </c>
      <c r="E2" s="4"/>
      <c r="G2" cm="1">
        <f t="array" ref="G2">_xlfn._xlws.SORT(_xlfn.UNIQUE(D2:D1000))</f>
        <v>0</v>
      </c>
      <c r="H2" s="4">
        <f>SUMIF($D$2:$D$1000,G2,$E$2:$E$1000)</f>
        <v>0</v>
      </c>
      <c r="N2" t="s">
        <v>10</v>
      </c>
      <c r="O2" s="4">
        <f>SUMIF($I$2:$I$1000,"*UN Blacklist 2023*",$H$2:$H$1000)</f>
        <v>0</v>
      </c>
    </row>
    <row r="3" spans="1:15" x14ac:dyDescent="0.25">
      <c r="H3" s="4">
        <f t="shared" ref="H3:H66" si="0">SUMIF($D$2:$D$1000,G3,$E$2:$E$1000)</f>
        <v>0</v>
      </c>
      <c r="N3" t="s">
        <v>7</v>
      </c>
      <c r="O3" s="4">
        <f>SUMIF($I$2:$I$1000,"*UN Blacklist 2025*",$H$2:$H$1000)</f>
        <v>0</v>
      </c>
    </row>
    <row r="4" spans="1:15" x14ac:dyDescent="0.25">
      <c r="E4" s="4"/>
      <c r="H4" s="4">
        <f t="shared" si="0"/>
        <v>0</v>
      </c>
      <c r="N4" t="s">
        <v>9</v>
      </c>
      <c r="O4" s="4">
        <f ca="1">SUMIF($I$2:$I$971000,"*AFSC Divestment List 2025*",$H$2:$H$1000)</f>
        <v>0</v>
      </c>
    </row>
    <row r="5" spans="1:15" x14ac:dyDescent="0.25">
      <c r="E5" s="4"/>
      <c r="G5" s="11"/>
      <c r="H5" s="4">
        <f t="shared" si="0"/>
        <v>0</v>
      </c>
      <c r="N5" t="s">
        <v>11</v>
      </c>
      <c r="O5" s="4">
        <f>SUMIF($I$2:$I$1000,"*Who Profits*",$H$2:$H$1000)</f>
        <v>0</v>
      </c>
    </row>
    <row r="6" spans="1:15" x14ac:dyDescent="0.25">
      <c r="E6" s="4"/>
      <c r="H6" s="4">
        <f t="shared" si="0"/>
        <v>0</v>
      </c>
    </row>
    <row r="7" spans="1:15" x14ac:dyDescent="0.25">
      <c r="E7" s="4"/>
      <c r="H7" s="4">
        <f t="shared" si="0"/>
        <v>0</v>
      </c>
      <c r="N7" s="2" t="s">
        <v>14</v>
      </c>
      <c r="O7" s="2" t="s">
        <v>4</v>
      </c>
    </row>
    <row r="8" spans="1:15" x14ac:dyDescent="0.25">
      <c r="E8" s="4"/>
      <c r="H8" s="4">
        <f t="shared" si="0"/>
        <v>0</v>
      </c>
      <c r="N8" t="s">
        <v>0</v>
      </c>
      <c r="O8" s="4">
        <f>SUMIF($B$2:$B$1000,"*Danske Bank*",$E$2:$E$1000)</f>
        <v>0</v>
      </c>
    </row>
    <row r="9" spans="1:15" x14ac:dyDescent="0.25">
      <c r="E9" s="4"/>
      <c r="H9" s="4">
        <f t="shared" si="0"/>
        <v>0</v>
      </c>
      <c r="N9" t="s">
        <v>6</v>
      </c>
      <c r="O9">
        <f>SUMIF($B$2:$B$1000,"*Jyske Bank*",$E$2:$E$1000)</f>
        <v>0</v>
      </c>
    </row>
    <row r="10" spans="1:15" x14ac:dyDescent="0.25">
      <c r="E10" s="4"/>
      <c r="H10" s="4">
        <f t="shared" si="0"/>
        <v>0</v>
      </c>
      <c r="N10" t="s">
        <v>8</v>
      </c>
      <c r="O10">
        <f>SUMIF($B$2:$B$1000,"*SEB*",$E$2:$E$1000)</f>
        <v>0</v>
      </c>
    </row>
    <row r="11" spans="1:15" x14ac:dyDescent="0.25">
      <c r="E11" s="4"/>
      <c r="H11" s="4">
        <f t="shared" si="0"/>
        <v>0</v>
      </c>
    </row>
    <row r="12" spans="1:15" x14ac:dyDescent="0.25">
      <c r="E12" s="12"/>
      <c r="H12" s="4">
        <f t="shared" si="0"/>
        <v>0</v>
      </c>
      <c r="N12" s="2" t="s">
        <v>15</v>
      </c>
    </row>
    <row r="13" spans="1:15" x14ac:dyDescent="0.25">
      <c r="E13" s="12"/>
      <c r="H13" s="4">
        <f t="shared" si="0"/>
        <v>0</v>
      </c>
      <c r="N13" s="9">
        <f>SUM(E2:E1000)</f>
        <v>0</v>
      </c>
    </row>
    <row r="14" spans="1:15" x14ac:dyDescent="0.25">
      <c r="E14" s="12"/>
      <c r="H14" s="4">
        <f t="shared" si="0"/>
        <v>0</v>
      </c>
    </row>
    <row r="15" spans="1:15" x14ac:dyDescent="0.25">
      <c r="E15" s="4"/>
      <c r="H15" s="4">
        <f t="shared" si="0"/>
        <v>0</v>
      </c>
    </row>
    <row r="16" spans="1:15" x14ac:dyDescent="0.25">
      <c r="E16" s="12"/>
      <c r="H16" s="4">
        <f t="shared" si="0"/>
        <v>0</v>
      </c>
    </row>
    <row r="17" spans="5:8" x14ac:dyDescent="0.25">
      <c r="E17" s="4"/>
      <c r="H17" s="4">
        <f t="shared" si="0"/>
        <v>0</v>
      </c>
    </row>
    <row r="18" spans="5:8" x14ac:dyDescent="0.25">
      <c r="E18" s="4"/>
      <c r="H18" s="4">
        <f t="shared" si="0"/>
        <v>0</v>
      </c>
    </row>
    <row r="19" spans="5:8" x14ac:dyDescent="0.25">
      <c r="E19" s="4"/>
      <c r="H19" s="4">
        <f t="shared" si="0"/>
        <v>0</v>
      </c>
    </row>
    <row r="20" spans="5:8" x14ac:dyDescent="0.25">
      <c r="E20" s="4"/>
      <c r="H20" s="4">
        <f t="shared" si="0"/>
        <v>0</v>
      </c>
    </row>
    <row r="21" spans="5:8" x14ac:dyDescent="0.25">
      <c r="E21" s="4"/>
      <c r="H21" s="4">
        <f t="shared" si="0"/>
        <v>0</v>
      </c>
    </row>
    <row r="22" spans="5:8" x14ac:dyDescent="0.25">
      <c r="E22" s="4"/>
      <c r="H22" s="4">
        <f t="shared" si="0"/>
        <v>0</v>
      </c>
    </row>
    <row r="23" spans="5:8" x14ac:dyDescent="0.25">
      <c r="E23" s="4"/>
      <c r="H23" s="4">
        <f t="shared" si="0"/>
        <v>0</v>
      </c>
    </row>
    <row r="24" spans="5:8" x14ac:dyDescent="0.25">
      <c r="E24" s="4"/>
      <c r="H24" s="4">
        <f t="shared" si="0"/>
        <v>0</v>
      </c>
    </row>
    <row r="25" spans="5:8" x14ac:dyDescent="0.25">
      <c r="E25" s="4"/>
      <c r="H25" s="4">
        <f t="shared" si="0"/>
        <v>0</v>
      </c>
    </row>
    <row r="26" spans="5:8" x14ac:dyDescent="0.25">
      <c r="E26" s="4"/>
      <c r="H26" s="4">
        <f t="shared" si="0"/>
        <v>0</v>
      </c>
    </row>
    <row r="27" spans="5:8" x14ac:dyDescent="0.25">
      <c r="E27" s="4"/>
      <c r="H27" s="4">
        <f t="shared" si="0"/>
        <v>0</v>
      </c>
    </row>
    <row r="28" spans="5:8" x14ac:dyDescent="0.25">
      <c r="E28" s="4"/>
      <c r="H28" s="4">
        <f t="shared" si="0"/>
        <v>0</v>
      </c>
    </row>
    <row r="29" spans="5:8" x14ac:dyDescent="0.25">
      <c r="E29" s="12"/>
      <c r="H29" s="4">
        <f t="shared" si="0"/>
        <v>0</v>
      </c>
    </row>
    <row r="30" spans="5:8" x14ac:dyDescent="0.25">
      <c r="E30" s="4"/>
      <c r="H30" s="4">
        <f t="shared" si="0"/>
        <v>0</v>
      </c>
    </row>
    <row r="31" spans="5:8" x14ac:dyDescent="0.25">
      <c r="E31" s="4"/>
      <c r="H31" s="4">
        <f t="shared" si="0"/>
        <v>0</v>
      </c>
    </row>
    <row r="32" spans="5:8" x14ac:dyDescent="0.25">
      <c r="E32" s="4"/>
      <c r="H32" s="4">
        <f t="shared" si="0"/>
        <v>0</v>
      </c>
    </row>
    <row r="33" spans="5:8" x14ac:dyDescent="0.25">
      <c r="E33" s="4"/>
      <c r="H33" s="4">
        <f t="shared" si="0"/>
        <v>0</v>
      </c>
    </row>
    <row r="34" spans="5:8" x14ac:dyDescent="0.25">
      <c r="E34" s="4"/>
      <c r="H34" s="4">
        <f t="shared" si="0"/>
        <v>0</v>
      </c>
    </row>
    <row r="35" spans="5:8" x14ac:dyDescent="0.25">
      <c r="E35" s="4"/>
      <c r="H35" s="4">
        <f t="shared" si="0"/>
        <v>0</v>
      </c>
    </row>
    <row r="36" spans="5:8" x14ac:dyDescent="0.25">
      <c r="E36" s="4"/>
      <c r="H36" s="4">
        <f t="shared" si="0"/>
        <v>0</v>
      </c>
    </row>
    <row r="37" spans="5:8" x14ac:dyDescent="0.25">
      <c r="E37" s="12"/>
      <c r="H37" s="4">
        <f t="shared" si="0"/>
        <v>0</v>
      </c>
    </row>
    <row r="38" spans="5:8" x14ac:dyDescent="0.25">
      <c r="E38" s="4"/>
      <c r="H38" s="4">
        <f t="shared" si="0"/>
        <v>0</v>
      </c>
    </row>
    <row r="39" spans="5:8" x14ac:dyDescent="0.25">
      <c r="E39" s="4"/>
      <c r="H39" s="4">
        <f t="shared" si="0"/>
        <v>0</v>
      </c>
    </row>
    <row r="40" spans="5:8" x14ac:dyDescent="0.25">
      <c r="E40" s="4"/>
      <c r="H40" s="4">
        <f t="shared" si="0"/>
        <v>0</v>
      </c>
    </row>
    <row r="41" spans="5:8" x14ac:dyDescent="0.25">
      <c r="E41" s="4"/>
      <c r="H41" s="4">
        <f t="shared" si="0"/>
        <v>0</v>
      </c>
    </row>
    <row r="42" spans="5:8" x14ac:dyDescent="0.25">
      <c r="E42" s="4"/>
      <c r="H42" s="4">
        <f t="shared" si="0"/>
        <v>0</v>
      </c>
    </row>
    <row r="43" spans="5:8" x14ac:dyDescent="0.25">
      <c r="E43" s="4"/>
      <c r="H43" s="4">
        <f t="shared" si="0"/>
        <v>0</v>
      </c>
    </row>
    <row r="44" spans="5:8" x14ac:dyDescent="0.25">
      <c r="E44" s="4"/>
      <c r="H44" s="4">
        <f t="shared" si="0"/>
        <v>0</v>
      </c>
    </row>
    <row r="45" spans="5:8" x14ac:dyDescent="0.25">
      <c r="E45" s="4"/>
      <c r="H45" s="4">
        <f t="shared" si="0"/>
        <v>0</v>
      </c>
    </row>
    <row r="46" spans="5:8" x14ac:dyDescent="0.25">
      <c r="E46" s="4"/>
      <c r="H46" s="4">
        <f t="shared" si="0"/>
        <v>0</v>
      </c>
    </row>
    <row r="47" spans="5:8" x14ac:dyDescent="0.25">
      <c r="E47" s="4"/>
      <c r="H47" s="4">
        <f t="shared" si="0"/>
        <v>0</v>
      </c>
    </row>
    <row r="48" spans="5:8" x14ac:dyDescent="0.25">
      <c r="E48" s="4"/>
      <c r="H48" s="4">
        <f t="shared" si="0"/>
        <v>0</v>
      </c>
    </row>
    <row r="49" spans="5:8" x14ac:dyDescent="0.25">
      <c r="E49" s="4"/>
      <c r="H49" s="4">
        <f t="shared" si="0"/>
        <v>0</v>
      </c>
    </row>
    <row r="50" spans="5:8" x14ac:dyDescent="0.25">
      <c r="E50" s="4"/>
      <c r="H50" s="4">
        <f t="shared" si="0"/>
        <v>0</v>
      </c>
    </row>
    <row r="51" spans="5:8" x14ac:dyDescent="0.25">
      <c r="E51" s="4"/>
      <c r="H51" s="4">
        <f t="shared" si="0"/>
        <v>0</v>
      </c>
    </row>
    <row r="52" spans="5:8" x14ac:dyDescent="0.25">
      <c r="E52" s="4"/>
      <c r="H52" s="4">
        <f t="shared" si="0"/>
        <v>0</v>
      </c>
    </row>
    <row r="53" spans="5:8" x14ac:dyDescent="0.25">
      <c r="E53" s="4"/>
      <c r="H53" s="4">
        <f t="shared" si="0"/>
        <v>0</v>
      </c>
    </row>
    <row r="54" spans="5:8" x14ac:dyDescent="0.25">
      <c r="E54" s="4"/>
      <c r="H54" s="4">
        <f t="shared" si="0"/>
        <v>0</v>
      </c>
    </row>
    <row r="55" spans="5:8" x14ac:dyDescent="0.25">
      <c r="E55" s="4"/>
      <c r="H55" s="4">
        <f t="shared" si="0"/>
        <v>0</v>
      </c>
    </row>
    <row r="56" spans="5:8" x14ac:dyDescent="0.25">
      <c r="E56" s="4"/>
      <c r="H56" s="4">
        <f t="shared" si="0"/>
        <v>0</v>
      </c>
    </row>
    <row r="57" spans="5:8" x14ac:dyDescent="0.25">
      <c r="E57" s="4"/>
      <c r="H57" s="4">
        <f t="shared" si="0"/>
        <v>0</v>
      </c>
    </row>
    <row r="58" spans="5:8" x14ac:dyDescent="0.25">
      <c r="E58" s="4"/>
      <c r="H58" s="4">
        <f t="shared" si="0"/>
        <v>0</v>
      </c>
    </row>
    <row r="59" spans="5:8" x14ac:dyDescent="0.25">
      <c r="E59" s="4"/>
      <c r="H59" s="4">
        <f t="shared" si="0"/>
        <v>0</v>
      </c>
    </row>
    <row r="60" spans="5:8" x14ac:dyDescent="0.25">
      <c r="E60" s="4"/>
      <c r="H60" s="4">
        <f t="shared" si="0"/>
        <v>0</v>
      </c>
    </row>
    <row r="61" spans="5:8" x14ac:dyDescent="0.25">
      <c r="E61" s="4"/>
      <c r="H61" s="4">
        <f t="shared" si="0"/>
        <v>0</v>
      </c>
    </row>
    <row r="62" spans="5:8" x14ac:dyDescent="0.25">
      <c r="E62" s="4"/>
      <c r="H62" s="4">
        <f t="shared" si="0"/>
        <v>0</v>
      </c>
    </row>
    <row r="63" spans="5:8" x14ac:dyDescent="0.25">
      <c r="E63" s="4"/>
      <c r="H63" s="4">
        <f t="shared" si="0"/>
        <v>0</v>
      </c>
    </row>
    <row r="64" spans="5:8" x14ac:dyDescent="0.25">
      <c r="E64" s="4"/>
      <c r="H64" s="4">
        <f t="shared" si="0"/>
        <v>0</v>
      </c>
    </row>
    <row r="65" spans="5:8" x14ac:dyDescent="0.25">
      <c r="E65" s="4"/>
      <c r="H65" s="4">
        <f t="shared" si="0"/>
        <v>0</v>
      </c>
    </row>
    <row r="66" spans="5:8" x14ac:dyDescent="0.25">
      <c r="E66" s="4"/>
      <c r="H66" s="4">
        <f t="shared" si="0"/>
        <v>0</v>
      </c>
    </row>
    <row r="67" spans="5:8" x14ac:dyDescent="0.25">
      <c r="E67" s="4"/>
      <c r="H67" s="4">
        <f t="shared" ref="H67:H130" si="1">SUMIF($D$2:$D$1000,G67,$E$2:$E$1000)</f>
        <v>0</v>
      </c>
    </row>
    <row r="68" spans="5:8" x14ac:dyDescent="0.25">
      <c r="E68" s="4"/>
      <c r="H68" s="4">
        <f t="shared" si="1"/>
        <v>0</v>
      </c>
    </row>
    <row r="69" spans="5:8" x14ac:dyDescent="0.25">
      <c r="E69" s="4"/>
      <c r="H69" s="4">
        <f t="shared" si="1"/>
        <v>0</v>
      </c>
    </row>
    <row r="70" spans="5:8" x14ac:dyDescent="0.25">
      <c r="E70" s="4"/>
      <c r="H70" s="4">
        <f t="shared" si="1"/>
        <v>0</v>
      </c>
    </row>
    <row r="71" spans="5:8" x14ac:dyDescent="0.25">
      <c r="E71" s="4"/>
      <c r="H71" s="4">
        <f t="shared" si="1"/>
        <v>0</v>
      </c>
    </row>
    <row r="72" spans="5:8" x14ac:dyDescent="0.25">
      <c r="E72" s="4"/>
      <c r="H72" s="4">
        <f t="shared" si="1"/>
        <v>0</v>
      </c>
    </row>
    <row r="73" spans="5:8" x14ac:dyDescent="0.25">
      <c r="E73" s="4"/>
      <c r="H73" s="4">
        <f t="shared" si="1"/>
        <v>0</v>
      </c>
    </row>
    <row r="74" spans="5:8" x14ac:dyDescent="0.25">
      <c r="E74" s="4"/>
      <c r="H74" s="4">
        <f t="shared" si="1"/>
        <v>0</v>
      </c>
    </row>
    <row r="75" spans="5:8" x14ac:dyDescent="0.25">
      <c r="E75" s="4"/>
      <c r="H75" s="4">
        <f t="shared" si="1"/>
        <v>0</v>
      </c>
    </row>
    <row r="76" spans="5:8" x14ac:dyDescent="0.25">
      <c r="E76" s="4"/>
      <c r="H76" s="4">
        <f t="shared" si="1"/>
        <v>0</v>
      </c>
    </row>
    <row r="77" spans="5:8" x14ac:dyDescent="0.25">
      <c r="E77" s="4"/>
      <c r="H77" s="4">
        <f t="shared" si="1"/>
        <v>0</v>
      </c>
    </row>
    <row r="78" spans="5:8" x14ac:dyDescent="0.25">
      <c r="E78" s="4"/>
      <c r="H78" s="4">
        <f t="shared" si="1"/>
        <v>0</v>
      </c>
    </row>
    <row r="79" spans="5:8" x14ac:dyDescent="0.25">
      <c r="E79" s="4"/>
      <c r="H79" s="4">
        <f t="shared" si="1"/>
        <v>0</v>
      </c>
    </row>
    <row r="80" spans="5:8" x14ac:dyDescent="0.25">
      <c r="E80" s="4"/>
      <c r="H80" s="4">
        <f t="shared" si="1"/>
        <v>0</v>
      </c>
    </row>
    <row r="81" spans="5:9" x14ac:dyDescent="0.25">
      <c r="E81" s="4"/>
      <c r="H81" s="4">
        <f t="shared" si="1"/>
        <v>0</v>
      </c>
    </row>
    <row r="82" spans="5:9" x14ac:dyDescent="0.25">
      <c r="E82" s="4"/>
      <c r="H82" s="4">
        <f t="shared" si="1"/>
        <v>0</v>
      </c>
    </row>
    <row r="83" spans="5:9" x14ac:dyDescent="0.25">
      <c r="E83" s="4"/>
      <c r="H83" s="4">
        <f t="shared" si="1"/>
        <v>0</v>
      </c>
    </row>
    <row r="84" spans="5:9" x14ac:dyDescent="0.25">
      <c r="E84" s="4"/>
      <c r="H84" s="4">
        <f t="shared" si="1"/>
        <v>0</v>
      </c>
    </row>
    <row r="85" spans="5:9" x14ac:dyDescent="0.25">
      <c r="E85" s="4"/>
      <c r="H85" s="4">
        <f t="shared" si="1"/>
        <v>0</v>
      </c>
    </row>
    <row r="86" spans="5:9" x14ac:dyDescent="0.25">
      <c r="E86" s="4"/>
      <c r="H86" s="4">
        <f t="shared" si="1"/>
        <v>0</v>
      </c>
    </row>
    <row r="87" spans="5:9" x14ac:dyDescent="0.25">
      <c r="E87" s="4"/>
      <c r="H87" s="4">
        <f t="shared" si="1"/>
        <v>0</v>
      </c>
    </row>
    <row r="88" spans="5:9" x14ac:dyDescent="0.25">
      <c r="E88" s="4"/>
      <c r="H88" s="4">
        <f t="shared" si="1"/>
        <v>0</v>
      </c>
    </row>
    <row r="89" spans="5:9" x14ac:dyDescent="0.25">
      <c r="E89" s="4"/>
      <c r="H89" s="4">
        <f t="shared" si="1"/>
        <v>0</v>
      </c>
    </row>
    <row r="90" spans="5:9" x14ac:dyDescent="0.25">
      <c r="E90" s="4"/>
      <c r="H90" s="4">
        <f t="shared" si="1"/>
        <v>0</v>
      </c>
    </row>
    <row r="91" spans="5:9" x14ac:dyDescent="0.25">
      <c r="E91" s="4"/>
      <c r="H91" s="4">
        <f t="shared" si="1"/>
        <v>0</v>
      </c>
      <c r="I91" s="5"/>
    </row>
    <row r="92" spans="5:9" x14ac:dyDescent="0.25">
      <c r="E92" s="4"/>
      <c r="H92" s="4">
        <f t="shared" si="1"/>
        <v>0</v>
      </c>
    </row>
    <row r="93" spans="5:9" x14ac:dyDescent="0.25">
      <c r="E93" s="4"/>
      <c r="H93" s="4">
        <f t="shared" si="1"/>
        <v>0</v>
      </c>
    </row>
    <row r="94" spans="5:9" x14ac:dyDescent="0.25">
      <c r="E94" s="4"/>
      <c r="H94" s="4">
        <f t="shared" si="1"/>
        <v>0</v>
      </c>
    </row>
    <row r="95" spans="5:9" x14ac:dyDescent="0.25">
      <c r="E95" s="4"/>
      <c r="H95" s="4">
        <f t="shared" si="1"/>
        <v>0</v>
      </c>
    </row>
    <row r="96" spans="5:9" x14ac:dyDescent="0.25">
      <c r="E96" s="4"/>
      <c r="H96" s="4">
        <f t="shared" si="1"/>
        <v>0</v>
      </c>
    </row>
    <row r="97" spans="5:8" x14ac:dyDescent="0.25">
      <c r="E97" s="4"/>
      <c r="H97" s="4">
        <f t="shared" si="1"/>
        <v>0</v>
      </c>
    </row>
    <row r="98" spans="5:8" x14ac:dyDescent="0.25">
      <c r="E98" s="4"/>
      <c r="H98" s="4">
        <f t="shared" si="1"/>
        <v>0</v>
      </c>
    </row>
    <row r="99" spans="5:8" x14ac:dyDescent="0.25">
      <c r="E99" s="4"/>
      <c r="H99" s="4">
        <f t="shared" si="1"/>
        <v>0</v>
      </c>
    </row>
    <row r="100" spans="5:8" x14ac:dyDescent="0.25">
      <c r="E100" s="4"/>
      <c r="H100" s="4">
        <f t="shared" si="1"/>
        <v>0</v>
      </c>
    </row>
    <row r="101" spans="5:8" x14ac:dyDescent="0.25">
      <c r="E101" s="4"/>
      <c r="H101" s="4">
        <f t="shared" si="1"/>
        <v>0</v>
      </c>
    </row>
    <row r="102" spans="5:8" x14ac:dyDescent="0.25">
      <c r="E102" s="4"/>
      <c r="H102" s="4">
        <f t="shared" si="1"/>
        <v>0</v>
      </c>
    </row>
    <row r="103" spans="5:8" x14ac:dyDescent="0.25">
      <c r="E103" s="4"/>
      <c r="H103" s="4">
        <f t="shared" si="1"/>
        <v>0</v>
      </c>
    </row>
    <row r="104" spans="5:8" x14ac:dyDescent="0.25">
      <c r="E104" s="3"/>
      <c r="H104" s="4">
        <f t="shared" si="1"/>
        <v>0</v>
      </c>
    </row>
    <row r="105" spans="5:8" x14ac:dyDescent="0.25">
      <c r="E105" s="3"/>
      <c r="H105" s="4">
        <f t="shared" si="1"/>
        <v>0</v>
      </c>
    </row>
    <row r="106" spans="5:8" x14ac:dyDescent="0.25">
      <c r="E106" s="3"/>
      <c r="H106" s="4">
        <f t="shared" si="1"/>
        <v>0</v>
      </c>
    </row>
    <row r="107" spans="5:8" x14ac:dyDescent="0.25">
      <c r="E107" s="3"/>
      <c r="H107" s="4">
        <f t="shared" si="1"/>
        <v>0</v>
      </c>
    </row>
    <row r="108" spans="5:8" x14ac:dyDescent="0.25">
      <c r="E108" s="3"/>
      <c r="H108" s="4">
        <f t="shared" si="1"/>
        <v>0</v>
      </c>
    </row>
    <row r="109" spans="5:8" x14ac:dyDescent="0.25">
      <c r="E109" s="3"/>
      <c r="H109" s="4">
        <f t="shared" si="1"/>
        <v>0</v>
      </c>
    </row>
    <row r="110" spans="5:8" x14ac:dyDescent="0.25">
      <c r="E110" s="3"/>
      <c r="H110" s="4">
        <f t="shared" si="1"/>
        <v>0</v>
      </c>
    </row>
    <row r="111" spans="5:8" x14ac:dyDescent="0.25">
      <c r="E111" s="3"/>
      <c r="H111" s="4">
        <f t="shared" si="1"/>
        <v>0</v>
      </c>
    </row>
    <row r="112" spans="5:8" x14ac:dyDescent="0.25">
      <c r="E112" s="3"/>
      <c r="H112" s="4">
        <f t="shared" si="1"/>
        <v>0</v>
      </c>
    </row>
    <row r="113" spans="5:8" x14ac:dyDescent="0.25">
      <c r="E113" s="3"/>
      <c r="H113" s="4">
        <f t="shared" si="1"/>
        <v>0</v>
      </c>
    </row>
    <row r="114" spans="5:8" x14ac:dyDescent="0.25">
      <c r="E114" s="3"/>
      <c r="H114" s="4">
        <f t="shared" si="1"/>
        <v>0</v>
      </c>
    </row>
    <row r="115" spans="5:8" x14ac:dyDescent="0.25">
      <c r="E115" s="3"/>
      <c r="H115" s="4">
        <f t="shared" si="1"/>
        <v>0</v>
      </c>
    </row>
    <row r="116" spans="5:8" x14ac:dyDescent="0.25">
      <c r="E116" s="3"/>
      <c r="H116" s="4">
        <f t="shared" si="1"/>
        <v>0</v>
      </c>
    </row>
    <row r="117" spans="5:8" x14ac:dyDescent="0.25">
      <c r="E117" s="3"/>
      <c r="H117" s="4">
        <f t="shared" si="1"/>
        <v>0</v>
      </c>
    </row>
    <row r="118" spans="5:8" x14ac:dyDescent="0.25">
      <c r="E118" s="3"/>
      <c r="H118" s="4">
        <f t="shared" si="1"/>
        <v>0</v>
      </c>
    </row>
    <row r="119" spans="5:8" x14ac:dyDescent="0.25">
      <c r="H119" s="4">
        <f t="shared" si="1"/>
        <v>0</v>
      </c>
    </row>
    <row r="120" spans="5:8" x14ac:dyDescent="0.25">
      <c r="H120" s="4">
        <f t="shared" si="1"/>
        <v>0</v>
      </c>
    </row>
    <row r="121" spans="5:8" x14ac:dyDescent="0.25">
      <c r="H121" s="4">
        <f t="shared" si="1"/>
        <v>0</v>
      </c>
    </row>
    <row r="122" spans="5:8" x14ac:dyDescent="0.25">
      <c r="H122" s="4">
        <f t="shared" si="1"/>
        <v>0</v>
      </c>
    </row>
    <row r="123" spans="5:8" x14ac:dyDescent="0.25">
      <c r="H123" s="4">
        <f t="shared" si="1"/>
        <v>0</v>
      </c>
    </row>
    <row r="124" spans="5:8" x14ac:dyDescent="0.25">
      <c r="H124" s="4">
        <f t="shared" si="1"/>
        <v>0</v>
      </c>
    </row>
    <row r="125" spans="5:8" x14ac:dyDescent="0.25">
      <c r="H125" s="4">
        <f t="shared" si="1"/>
        <v>0</v>
      </c>
    </row>
    <row r="126" spans="5:8" x14ac:dyDescent="0.25">
      <c r="H126" s="4">
        <f t="shared" si="1"/>
        <v>0</v>
      </c>
    </row>
    <row r="127" spans="5:8" x14ac:dyDescent="0.25">
      <c r="H127" s="4">
        <f t="shared" si="1"/>
        <v>0</v>
      </c>
    </row>
    <row r="128" spans="5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ref="H131:H151" si="2">SUMIF($D$2:$D$1000,G131,$E$2:$E$1000)</f>
        <v>0</v>
      </c>
    </row>
    <row r="132" spans="8:8" x14ac:dyDescent="0.25">
      <c r="H132" s="4">
        <f t="shared" si="2"/>
        <v>0</v>
      </c>
    </row>
    <row r="133" spans="8:8" x14ac:dyDescent="0.25">
      <c r="H133" s="4">
        <f t="shared" si="2"/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</sheetData>
  <sortState xmlns:xlrd2="http://schemas.microsoft.com/office/spreadsheetml/2017/richdata2" ref="B2:E118">
    <sortCondition ref="B2:B118"/>
    <sortCondition ref="D2:D118"/>
  </sortState>
  <phoneticPr fontId="2" type="noConversion"/>
  <conditionalFormatting sqref="G2:G151">
    <cfRule type="cellIs" dxfId="1" priority="2" operator="equal">
      <formula>0</formula>
    </cfRule>
  </conditionalFormatting>
  <conditionalFormatting sqref="H2:H15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2024 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2026-04-22T10:58:09Z</dcterms:created>
  <dcterms:modified xsi:type="dcterms:W3CDTF">2026-07-31T13:27:49Z</dcterms:modified>
</cp:coreProperties>
</file>